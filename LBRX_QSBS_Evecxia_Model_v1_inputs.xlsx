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 h:mm:ss"/>
    <numFmt numFmtId="166" formatCode="yyyy-mm-dd"/>
    <numFmt numFmtId="167" formatCode="$#,##0"/>
    <numFmt numFmtId="168" formatCode="$#,##0.00"/>
    <numFmt numFmtId="169" formatCode="$#,##0.00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169" fontId="0" fillId="3" borderId="0" applyAlignment="1" pivotButton="0" quotePrefix="0" xfId="0">
      <alignment horizontal="right" vertical="center"/>
    </xf>
    <xf numFmtId="167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LBRX QSBS &amp; Evecxia Scenario Model</t>
        </is>
      </c>
    </row>
    <row r="2">
      <c r="A2" s="2" t="inlineStr">
        <is>
          <t>Inputs &amp; Assumptions</t>
        </is>
      </c>
    </row>
    <row r="4">
      <c r="A4" s="3" t="inlineStr">
        <is>
          <t>INVESTOR TAX PROFILE</t>
        </is>
      </c>
    </row>
    <row r="5">
      <c r="A5" s="4" t="inlineStr">
        <is>
          <t>Federal LTCG Rate</t>
        </is>
      </c>
      <c r="B5" s="5" t="n">
        <v>0.2</v>
      </c>
    </row>
    <row r="6">
      <c r="A6" s="4" t="inlineStr">
        <is>
          <t>NIIT (3.8%) Applies?</t>
        </is>
      </c>
      <c r="B6" s="6" t="inlineStr">
        <is>
          <t>YES</t>
        </is>
      </c>
    </row>
    <row r="7">
      <c r="A7" s="4" t="inlineStr">
        <is>
          <t>NIIT Rate</t>
        </is>
      </c>
      <c r="B7" s="7">
        <f>IF(B6="YES",0.038,0)</f>
        <v/>
      </c>
    </row>
    <row r="8">
      <c r="A8" s="4" t="inlineStr">
        <is>
          <t>Effective Federal Rate</t>
        </is>
      </c>
      <c r="B8" s="7">
        <f>B5+B7</f>
        <v/>
      </c>
    </row>
    <row r="9">
      <c r="A9" s="4" t="inlineStr">
        <is>
          <t>State Tax Rate</t>
        </is>
      </c>
      <c r="B9" s="5" t="n">
        <v>0</v>
      </c>
    </row>
    <row r="10">
      <c r="A10" s="4" t="inlineStr">
        <is>
          <t>Combined Tax Rate</t>
        </is>
      </c>
      <c r="B10" s="7">
        <f>B8+B9</f>
        <v/>
      </c>
    </row>
    <row r="11">
      <c r="A11" s="4" t="inlineStr">
        <is>
          <t>Federal Ordinary Income Rate</t>
        </is>
      </c>
      <c r="B11" s="5" t="n">
        <v>0.37</v>
      </c>
    </row>
    <row r="13">
      <c r="A13" s="3" t="inlineStr">
        <is>
          <t>SERIES B INVESTMENT</t>
        </is>
      </c>
    </row>
    <row r="14">
      <c r="A14" s="4" t="inlineStr">
        <is>
          <t>Series B Invest Date</t>
        </is>
      </c>
      <c r="B14" s="8" t="n">
        <v>44684</v>
      </c>
    </row>
    <row r="15">
      <c r="A15" s="4" t="inlineStr">
        <is>
          <t>Series B Cost Basis ($)</t>
        </is>
      </c>
      <c r="B15" s="9" t="n">
        <v>100000</v>
      </c>
    </row>
    <row r="16">
      <c r="A16" s="4" t="inlineStr">
        <is>
          <t>Series B Cost Per Share</t>
        </is>
      </c>
      <c r="B16" s="10" t="n">
        <v>24</v>
      </c>
    </row>
    <row r="17">
      <c r="A17" s="4" t="inlineStr">
        <is>
          <t>Series B Shares Acquired</t>
        </is>
      </c>
      <c r="B17" s="11">
        <f>B15/B16</f>
        <v/>
      </c>
    </row>
    <row r="18">
      <c r="A18" s="4" t="inlineStr">
        <is>
          <t>Series B QSBS Eligible</t>
        </is>
      </c>
      <c r="B18" s="12" t="inlineStr">
        <is>
          <t>YES</t>
        </is>
      </c>
    </row>
    <row r="19">
      <c r="A19" s="4" t="inlineStr">
        <is>
          <t>QSBS 5-Year Completion Date</t>
        </is>
      </c>
      <c r="B19" s="13">
        <f>B14+1826</f>
        <v/>
      </c>
    </row>
    <row r="21">
      <c r="A21" s="3" t="inlineStr">
        <is>
          <t>SERIES C INVESTMENT (optional)</t>
        </is>
      </c>
    </row>
    <row r="22">
      <c r="A22" s="4" t="inlineStr">
        <is>
          <t>Series C Invest Date</t>
        </is>
      </c>
    </row>
    <row r="23">
      <c r="A23" s="4" t="inlineStr">
        <is>
          <t>Series C Cost Basis ($)</t>
        </is>
      </c>
    </row>
    <row r="24">
      <c r="A24" s="4" t="inlineStr">
        <is>
          <t>Series C Cost Per Share</t>
        </is>
      </c>
      <c r="B24" s="10" t="n">
        <v>36.44</v>
      </c>
    </row>
    <row r="25">
      <c r="A25" s="4" t="inlineStr">
        <is>
          <t>Series C Shares Acquired</t>
        </is>
      </c>
      <c r="B25" s="11">
        <f>IF(B23="","",B23/B24)</f>
        <v/>
      </c>
    </row>
    <row r="26">
      <c r="A26" s="4" t="inlineStr">
        <is>
          <t>Series C QSBS Eligible</t>
        </is>
      </c>
      <c r="B26" s="12" t="inlineStr">
        <is>
          <t>NO</t>
        </is>
      </c>
    </row>
    <row r="28">
      <c r="A28" s="3" t="inlineStr">
        <is>
          <t>EVECXIA INVESTMENT (§1045)</t>
        </is>
      </c>
    </row>
    <row r="29">
      <c r="A29" s="4" t="inlineStr">
        <is>
          <t>Evecxia Purchase Date</t>
        </is>
      </c>
      <c r="B29" s="8" t="n">
        <v>46123</v>
      </c>
    </row>
    <row r="30">
      <c r="A30" s="4" t="inlineStr">
        <is>
          <t>Evecxia Share Price</t>
        </is>
      </c>
      <c r="B30" s="14" t="n">
        <v>0.1069</v>
      </c>
    </row>
    <row r="31">
      <c r="A31" s="4" t="inlineStr">
        <is>
          <t>Amount Reinvested</t>
        </is>
      </c>
      <c r="B31" s="15">
        <f>B15</f>
        <v/>
      </c>
    </row>
    <row r="32">
      <c r="A32" s="4" t="inlineStr">
        <is>
          <t>Evecxia Shares Acquired</t>
        </is>
      </c>
      <c r="B32" s="11">
        <f>B31/B30</f>
        <v/>
      </c>
    </row>
    <row r="33">
      <c r="A33" s="4" t="inlineStr">
        <is>
          <t>Evecxia QSBS Eligible</t>
        </is>
      </c>
      <c r="B33" s="6" t="inlineStr">
        <is>
          <t>YES</t>
        </is>
      </c>
    </row>
    <row r="34">
      <c r="A34" s="4" t="inlineStr">
        <is>
          <t>Evecxia Pre-Money Valuation</t>
        </is>
      </c>
      <c r="B34" s="9" t="n">
        <v>14000000</v>
      </c>
    </row>
    <row r="35">
      <c r="A35" s="4" t="inlineStr">
        <is>
          <t>Evecxia Post-Money Valuation</t>
        </is>
      </c>
      <c r="B35" s="9" t="n">
        <v>30000000</v>
      </c>
    </row>
    <row r="36">
      <c r="A36" s="4" t="inlineStr">
        <is>
          <t>Evecxia Total Shares at SerA Close</t>
        </is>
      </c>
      <c r="B36" s="11">
        <f>B35/B30</f>
        <v/>
      </c>
    </row>
    <row r="38">
      <c r="A38" s="3" t="inlineStr">
        <is>
          <t>MARKET / IPO DETAILS</t>
        </is>
      </c>
    </row>
    <row r="39">
      <c r="A39" s="4" t="inlineStr">
        <is>
          <t>IPO Date</t>
        </is>
      </c>
      <c r="B39" s="8" t="n">
        <v>45912</v>
      </c>
    </row>
    <row r="40">
      <c r="A40" s="4" t="inlineStr">
        <is>
          <t>IPO Price</t>
        </is>
      </c>
      <c r="B40" s="10" t="n">
        <v>15</v>
      </c>
    </row>
    <row r="41">
      <c r="A41" s="4" t="inlineStr">
        <is>
          <t>Lock-Up Release Date</t>
        </is>
      </c>
      <c r="B41" s="8" t="n">
        <v>46093</v>
      </c>
    </row>
    <row r="42">
      <c r="A42" s="4" t="inlineStr">
        <is>
          <t>Current / Lock-Up Price</t>
        </is>
      </c>
      <c r="B42" s="10" t="n">
        <v>24.22</v>
      </c>
    </row>
    <row r="43">
      <c r="A43" s="4" t="inlineStr">
        <is>
          <t>Shares Outstanding (post-IPO)</t>
        </is>
      </c>
      <c r="B43" s="16" t="n">
        <v>25300000</v>
      </c>
    </row>
    <row r="44">
      <c r="A44" s="4" t="inlineStr">
        <is>
          <t>Shares Outstanding (post-PIPE)</t>
        </is>
      </c>
      <c r="B44" s="16" t="n">
        <v>30000000</v>
      </c>
    </row>
    <row r="46">
      <c r="A46" s="3" t="inlineStr">
        <is>
          <t>CLINICAL TIMELINE</t>
        </is>
      </c>
    </row>
    <row r="47">
      <c r="A47" s="4" t="inlineStr">
        <is>
          <t>Phase 3 Topline Expected</t>
        </is>
      </c>
      <c r="B47" s="8" t="n">
        <v>46661</v>
      </c>
    </row>
    <row r="48">
      <c r="A48" s="4" t="inlineStr">
        <is>
          <t>Evecxia Phase 2 Readout</t>
        </is>
      </c>
      <c r="B48" s="8" t="n">
        <v>46675</v>
      </c>
    </row>
    <row r="49">
      <c r="A49" s="4" t="inlineStr">
        <is>
          <t>Evecxia IPO Target</t>
        </is>
      </c>
      <c r="B49" s="8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0" t="n">
        <v>50</v>
      </c>
    </row>
    <row r="53">
      <c r="A53" s="4" t="inlineStr">
        <is>
          <t>LBRX Price — Ph3 Positive (Base)</t>
        </is>
      </c>
      <c r="B53" s="10" t="n">
        <v>100</v>
      </c>
    </row>
    <row r="54">
      <c r="A54" s="4" t="inlineStr">
        <is>
          <t>LBRX Price — Ph3 Positive (High)</t>
        </is>
      </c>
      <c r="B54" s="10" t="n">
        <v>165</v>
      </c>
    </row>
    <row r="55">
      <c r="A55" s="4" t="inlineStr">
        <is>
          <t>LBRX Price — Ph3 Negative (Low)</t>
        </is>
      </c>
      <c r="B55" s="10" t="n">
        <v>3.3</v>
      </c>
    </row>
    <row r="56">
      <c r="A56" s="4" t="inlineStr">
        <is>
          <t>LBRX Price — Ph3 Negative (Base)</t>
        </is>
      </c>
      <c r="B56" s="10" t="n">
        <v>6.6</v>
      </c>
    </row>
    <row r="57">
      <c r="A57" s="4" t="inlineStr">
        <is>
          <t>LBRX Price — Ph3 Negative (High)</t>
        </is>
      </c>
      <c r="B57" s="10" t="n">
        <v>11.5</v>
      </c>
    </row>
    <row r="58">
      <c r="A58" s="4" t="inlineStr">
        <is>
          <t>Evecxia Val — Ph2 Positive (Low)</t>
        </is>
      </c>
      <c r="B58" s="9" t="n">
        <v>800000000</v>
      </c>
    </row>
    <row r="59">
      <c r="A59" s="4" t="inlineStr">
        <is>
          <t>Evecxia Val — Ph2 Positive (Base)</t>
        </is>
      </c>
      <c r="B59" s="9" t="n">
        <v>1500000000</v>
      </c>
    </row>
    <row r="60">
      <c r="A60" s="4" t="inlineStr">
        <is>
          <t>Evecxia Val — Ph2 Positive (High)</t>
        </is>
      </c>
      <c r="B60" s="9" t="n">
        <v>3000000000</v>
      </c>
    </row>
    <row r="61">
      <c r="A61" s="4" t="inlineStr">
        <is>
          <t>Evecxia Val — Ph2 Negative (Low)</t>
        </is>
      </c>
      <c r="B61" s="9" t="n">
        <v>50000000</v>
      </c>
    </row>
    <row r="62">
      <c r="A62" s="4" t="inlineStr">
        <is>
          <t>Evecxia Val — Ph2 Negative (Base)</t>
        </is>
      </c>
      <c r="B62" s="9" t="n">
        <v>120000000</v>
      </c>
    </row>
    <row r="63">
      <c r="A63" s="4" t="inlineStr">
        <is>
          <t>Evecxia Val — Ph2 Negative (High)</t>
        </is>
      </c>
      <c r="B63" s="9" t="n">
        <v>250000000</v>
      </c>
    </row>
    <row r="64">
      <c r="A64" s="4" t="inlineStr">
        <is>
          <t>Evecxia IPO Valuation</t>
        </is>
      </c>
      <c r="B64" s="9" t="n">
        <v>400000000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2026-02-13T23:18:07Z</dcterms:modified>
</cp:coreProperties>
</file>