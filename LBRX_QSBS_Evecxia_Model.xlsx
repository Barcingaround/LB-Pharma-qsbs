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Inputs" sheetId="2" state="visible" r:id="rId2"/>
    <sheet name="Timeline" sheetId="3" state="visible" r:id="rId3"/>
    <sheet name="Comps" sheetId="4" state="visible" r:id="rId4"/>
    <sheet name="Scenarios" sheetId="5" state="visible" r:id="rId5"/>
    <sheet name="TaxLogic" sheetId="6" state="visible" r:id="rId6"/>
    <sheet name="Outputs" sheetId="7" state="visible" r:id="rId7"/>
    <sheet name="Sources" sheetId="8" state="visible" r:id="rId8"/>
  </sheets>
  <definedNames>
    <definedName name="fed_ltcg_rate">Inputs!$B$5</definedName>
    <definedName name="niit_rate">Inputs!$B$7</definedName>
    <definedName name="eff_fed_rate">Inputs!$B$8</definedName>
    <definedName name="state_rate">Inputs!$B$9</definedName>
    <definedName name="combined_rate">Inputs!$B$10</definedName>
    <definedName name="serb_date">Inputs!$B$14</definedName>
    <definedName name="serb_basis">Inputs!$B$15</definedName>
    <definedName name="serb_shares">Inputs!$B$17</definedName>
    <definedName name="qsbs_5yr_date">Inputs!$B$19</definedName>
    <definedName name="lockup_date">Inputs!$B$41</definedName>
    <definedName name="lockup_price">Inputs!$B$42</definedName>
    <definedName name="ph3_date">Inputs!$B$47</definedName>
    <definedName name="evecxia_ph2_date">Inputs!$B$48</definedName>
    <definedName name="evecxia_price">Inputs!$B$30</definedName>
    <definedName name="evecxia_purchase">Inputs!$B$29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0.0%"/>
    <numFmt numFmtId="165" formatCode="yyyy-mm-dd"/>
    <numFmt numFmtId="166" formatCode="$#,##0"/>
    <numFmt numFmtId="167" formatCode="$#,##0.00"/>
    <numFmt numFmtId="168" formatCode="$#,##0.0000"/>
    <numFmt numFmtId="169" formatCode="0.00x"/>
  </numFmts>
  <fonts count="1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2"/>
    </font>
    <font>
      <name val="Calibri"/>
      <b val="1"/>
      <sz val="11"/>
    </font>
    <font>
      <name val="Calibri"/>
      <sz val="11"/>
    </font>
    <font>
      <name val="Calibri"/>
      <i val="1"/>
      <sz val="10"/>
    </font>
    <font>
      <name val="Calibri"/>
      <b val="1"/>
      <color rgb="00FFFFFF"/>
      <sz val="12"/>
    </font>
    <font>
      <name val="Calibri"/>
      <b val="1"/>
      <i val="1"/>
      <sz val="11"/>
    </font>
    <font>
      <name val="Calibri"/>
      <b val="1"/>
      <color rgb="00FFFFFF"/>
      <sz val="11"/>
    </font>
    <font>
      <name val="Calibri"/>
      <sz val="10"/>
    </font>
    <font>
      <name val="Calibri"/>
      <i val="1"/>
      <sz val="9"/>
    </font>
    <font>
      <name val="Calibri"/>
      <b val="1"/>
      <sz val="10"/>
    </font>
    <font>
      <name val="Calibri"/>
      <b val="1"/>
      <color rgb="00FFFFFF"/>
      <sz val="10"/>
    </font>
    <font>
      <name val="Calibri"/>
      <sz val="9"/>
    </font>
  </fonts>
  <fills count="8">
    <fill>
      <patternFill/>
    </fill>
    <fill>
      <patternFill patternType="gray125"/>
    </fill>
    <fill>
      <patternFill patternType="solid">
        <fgColor rgb="00E7E6E6"/>
        <bgColor rgb="00E7E6E6"/>
      </patternFill>
    </fill>
    <fill>
      <patternFill patternType="solid">
        <fgColor rgb="00DCE6F1"/>
        <bgColor rgb="00DCE6F1"/>
      </patternFill>
    </fill>
    <fill>
      <patternFill patternType="solid">
        <fgColor rgb="00FFFFFF"/>
        <bgColor rgb="00FFFFFF"/>
      </patternFill>
    </fill>
    <fill>
      <patternFill patternType="solid">
        <fgColor rgb="002E75B6"/>
        <bgColor rgb="002E75B6"/>
      </patternFill>
    </fill>
    <fill>
      <patternFill patternType="solid">
        <fgColor rgb="001F4E79"/>
        <bgColor rgb="001F4E79"/>
      </patternFill>
    </fill>
    <fill>
      <patternFill patternType="solid">
        <fgColor rgb="00D9E1F2"/>
        <bgColor rgb="00D9E1F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applyAlignment="1" pivotButton="0" quotePrefix="0" xfId="0">
      <alignment horizontal="left" vertical="center"/>
    </xf>
    <xf numFmtId="164" fontId="0" fillId="3" borderId="0" applyAlignment="1" pivotButton="0" quotePrefix="0" xfId="0">
      <alignment horizontal="right" vertical="center"/>
    </xf>
    <xf numFmtId="0" fontId="0" fillId="3" borderId="0" applyAlignment="1" pivotButton="0" quotePrefix="0" xfId="0">
      <alignment horizontal="right" vertical="center"/>
    </xf>
    <xf numFmtId="164" fontId="0" fillId="4" borderId="0" applyAlignment="1" pivotButton="0" quotePrefix="0" xfId="0">
      <alignment horizontal="right" vertical="center"/>
    </xf>
    <xf numFmtId="165" fontId="0" fillId="3" borderId="0" applyAlignment="1" pivotButton="0" quotePrefix="0" xfId="0">
      <alignment horizontal="right" vertical="center"/>
    </xf>
    <xf numFmtId="166" fontId="0" fillId="3" borderId="0" applyAlignment="1" pivotButton="0" quotePrefix="0" xfId="0">
      <alignment horizontal="right" vertical="center"/>
    </xf>
    <xf numFmtId="167" fontId="0" fillId="3" borderId="0" applyAlignment="1" pivotButton="0" quotePrefix="0" xfId="0">
      <alignment horizontal="right" vertical="center"/>
    </xf>
    <xf numFmtId="3" fontId="0" fillId="4" borderId="0" applyAlignment="1" pivotButton="0" quotePrefix="0" xfId="0">
      <alignment horizontal="right" vertical="center"/>
    </xf>
    <xf numFmtId="0" fontId="0" fillId="4" borderId="0" applyAlignment="1" pivotButton="0" quotePrefix="0" xfId="0">
      <alignment horizontal="right" vertical="center"/>
    </xf>
    <xf numFmtId="165" fontId="0" fillId="4" borderId="0" applyAlignment="1" pivotButton="0" quotePrefix="0" xfId="0">
      <alignment horizontal="right" vertical="center"/>
    </xf>
    <xf numFmtId="168" fontId="0" fillId="3" borderId="0" applyAlignment="1" pivotButton="0" quotePrefix="0" xfId="0">
      <alignment horizontal="right" vertical="center"/>
    </xf>
    <xf numFmtId="166" fontId="0" fillId="4" borderId="0" applyAlignment="1" pivotButton="0" quotePrefix="0" xfId="0">
      <alignment horizontal="right" vertical="center"/>
    </xf>
    <xf numFmtId="3" fontId="0" fillId="3" borderId="0" applyAlignment="1" pivotButton="0" quotePrefix="0" xfId="0">
      <alignment horizontal="right" vertical="center"/>
    </xf>
    <xf numFmtId="165" fontId="0" fillId="3" borderId="0" applyAlignment="1" pivotButton="0" quotePrefix="0" xfId="0">
      <alignment horizontal="right" vertical="center"/>
    </xf>
    <xf numFmtId="166" fontId="0" fillId="3" borderId="0" applyAlignment="1" pivotButton="0" quotePrefix="0" xfId="0">
      <alignment horizontal="right" vertical="center"/>
    </xf>
    <xf numFmtId="167" fontId="0" fillId="3" borderId="0" applyAlignment="1" pivotButton="0" quotePrefix="0" xfId="0">
      <alignment horizontal="right" vertical="center"/>
    </xf>
    <xf numFmtId="165" fontId="0" fillId="4" borderId="0" applyAlignment="1" pivotButton="0" quotePrefix="0" xfId="0">
      <alignment horizontal="right" vertical="center"/>
    </xf>
    <xf numFmtId="168" fontId="0" fillId="3" borderId="0" applyAlignment="1" pivotButton="0" quotePrefix="0" xfId="0">
      <alignment horizontal="right" vertical="center"/>
    </xf>
    <xf numFmtId="166" fontId="0" fillId="4" borderId="0" applyAlignment="1" pivotButton="0" quotePrefix="0" xfId="0">
      <alignment horizontal="right" vertical="center"/>
    </xf>
    <xf numFmtId="0" fontId="5" fillId="0" borderId="0" pivotButton="0" quotePrefix="0" xfId="0"/>
    <xf numFmtId="0" fontId="6" fillId="5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 wrapText="1"/>
    </xf>
    <xf numFmtId="166" fontId="0" fillId="0" borderId="0" applyAlignment="1" pivotButton="0" quotePrefix="0" xfId="0">
      <alignment horizontal="right" vertical="center"/>
    </xf>
    <xf numFmtId="3" fontId="0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right" vertical="center"/>
    </xf>
    <xf numFmtId="164" fontId="0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/>
    </xf>
    <xf numFmtId="165" fontId="0" fillId="0" borderId="0" applyAlignment="1" pivotButton="0" quotePrefix="0" xfId="0">
      <alignment horizontal="right" vertical="center"/>
    </xf>
    <xf numFmtId="2" fontId="0" fillId="0" borderId="0" applyAlignment="1" pivotButton="0" quotePrefix="0" xfId="0">
      <alignment horizontal="right" vertical="center"/>
    </xf>
    <xf numFmtId="169" fontId="0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 wrapText="1"/>
    </xf>
    <xf numFmtId="0" fontId="8" fillId="6" borderId="0" applyAlignment="1" pivotButton="0" quotePrefix="0" xfId="0">
      <alignment horizontal="center" vertical="center"/>
    </xf>
    <xf numFmtId="165" fontId="0" fillId="0" borderId="0" pivotButton="0" quotePrefix="0" xfId="0"/>
    <xf numFmtId="0" fontId="9" fillId="0" borderId="0" pivotButton="0" quotePrefix="0" xfId="0"/>
    <xf numFmtId="3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center"/>
    </xf>
    <xf numFmtId="0" fontId="10" fillId="0" borderId="0" applyAlignment="1" pivotButton="0" quotePrefix="0" xfId="0">
      <alignment wrapText="1"/>
    </xf>
    <xf numFmtId="0" fontId="3" fillId="0" borderId="0" pivotButton="0" quotePrefix="0" xfId="0"/>
    <xf numFmtId="0" fontId="0" fillId="0" borderId="0" applyAlignment="1" pivotButton="0" quotePrefix="0" xfId="0">
      <alignment horizontal="left"/>
    </xf>
    <xf numFmtId="0" fontId="10" fillId="0" borderId="0" pivotButton="0" quotePrefix="0" xfId="0"/>
    <xf numFmtId="3" fontId="0" fillId="0" borderId="0" applyAlignment="1" pivotButton="0" quotePrefix="0" xfId="0">
      <alignment horizontal="left"/>
    </xf>
    <xf numFmtId="2" fontId="0" fillId="0" borderId="0" applyAlignment="1" pivotButton="0" quotePrefix="0" xfId="0">
      <alignment horizontal="left"/>
    </xf>
    <xf numFmtId="0" fontId="6" fillId="5" borderId="0" pivotButton="0" quotePrefix="0" xfId="0"/>
    <xf numFmtId="0" fontId="11" fillId="7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3" fontId="0" fillId="0" borderId="0" applyAlignment="1" pivotButton="0" quotePrefix="0" xfId="0">
      <alignment horizontal="left" vertical="top" wrapText="1"/>
    </xf>
    <xf numFmtId="9" fontId="0" fillId="0" borderId="0" applyAlignment="1" pivotButton="0" quotePrefix="0" xfId="0">
      <alignment horizontal="left" vertical="top" wrapText="1"/>
    </xf>
    <xf numFmtId="0" fontId="12" fillId="6" borderId="0" applyAlignment="1" pivotButton="0" quotePrefix="0" xfId="0">
      <alignment horizontal="center" vertical="center" wrapText="1"/>
    </xf>
    <xf numFmtId="167" fontId="0" fillId="0" borderId="0" applyAlignment="1" pivotButton="0" quotePrefix="0" xfId="0">
      <alignment horizontal="right" vertical="center"/>
    </xf>
    <xf numFmtId="0" fontId="11" fillId="0" borderId="0" pivotButton="0" quotePrefix="0" xfId="0"/>
    <xf numFmtId="168" fontId="0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  <xf numFmtId="0" fontId="3" fillId="0" borderId="0" applyAlignment="1" pivotButton="0" quotePrefix="0" xfId="0">
      <alignment horizontal="center"/>
    </xf>
    <xf numFmtId="0" fontId="11" fillId="7" borderId="0" applyAlignment="1" pivotButton="0" quotePrefix="0" xfId="0">
      <alignment horizontal="center" wrapText="1"/>
    </xf>
    <xf numFmtId="166" fontId="0" fillId="0" borderId="0" applyAlignment="1" pivotButton="0" quotePrefix="0" xfId="0">
      <alignment horizontal="right"/>
    </xf>
    <xf numFmtId="169" fontId="0" fillId="0" borderId="0" applyAlignment="1" pivotButton="0" quotePrefix="0" xfId="0">
      <alignment horizontal="right"/>
    </xf>
    <xf numFmtId="0" fontId="11" fillId="0" borderId="0" applyAlignment="1" pivotButton="0" quotePrefix="0" xfId="0">
      <alignment horizontal="center"/>
    </xf>
    <xf numFmtId="166" fontId="0" fillId="0" borderId="0" pivotButton="0" quotePrefix="0" xfId="0"/>
    <xf numFmtId="0" fontId="8" fillId="6" borderId="0" pivotButton="0" quotePrefix="0" xfId="0"/>
    <xf numFmtId="0" fontId="0" fillId="0" borderId="0" applyAlignment="1" pivotButton="0" quotePrefix="0" xfId="0">
      <alignment wrapText="1"/>
    </xf>
    <xf numFmtId="0" fontId="1" fillId="0" borderId="1" pivotButton="0" quotePrefix="0" xfId="0"/>
    <xf numFmtId="0" fontId="2" fillId="0" borderId="1" pivotButton="0" quotePrefix="0" xfId="0"/>
    <xf numFmtId="0" fontId="3" fillId="2" borderId="1" pivotButton="0" quotePrefix="0" xfId="0"/>
    <xf numFmtId="0" fontId="4" fillId="0" borderId="1" applyAlignment="1" pivotButton="0" quotePrefix="0" xfId="0">
      <alignment horizontal="left" vertical="center"/>
    </xf>
    <xf numFmtId="164" fontId="0" fillId="3" borderId="1" applyAlignment="1" pivotButton="0" quotePrefix="0" xfId="0">
      <alignment horizontal="right" vertical="center"/>
    </xf>
    <xf numFmtId="0" fontId="0" fillId="3" borderId="1" applyAlignment="1" pivotButton="0" quotePrefix="0" xfId="0">
      <alignment horizontal="right" vertical="center"/>
    </xf>
    <xf numFmtId="164" fontId="0" fillId="4" borderId="1" applyAlignment="1" pivotButton="0" quotePrefix="0" xfId="0">
      <alignment horizontal="right" vertical="center"/>
    </xf>
    <xf numFmtId="165" fontId="0" fillId="3" borderId="1" applyAlignment="1" pivotButton="0" quotePrefix="0" xfId="0">
      <alignment horizontal="right" vertical="center"/>
    </xf>
    <xf numFmtId="166" fontId="0" fillId="3" borderId="1" applyAlignment="1" pivotButton="0" quotePrefix="0" xfId="0">
      <alignment horizontal="right" vertical="center"/>
    </xf>
    <xf numFmtId="167" fontId="0" fillId="3" borderId="1" applyAlignment="1" pivotButton="0" quotePrefix="0" xfId="0">
      <alignment horizontal="right" vertical="center"/>
    </xf>
    <xf numFmtId="3" fontId="0" fillId="4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right" vertical="center"/>
    </xf>
    <xf numFmtId="165" fontId="0" fillId="4" borderId="1" applyAlignment="1" pivotButton="0" quotePrefix="0" xfId="0">
      <alignment horizontal="right" vertical="center"/>
    </xf>
    <xf numFmtId="168" fontId="0" fillId="3" borderId="1" applyAlignment="1" pivotButton="0" quotePrefix="0" xfId="0">
      <alignment horizontal="right" vertical="center"/>
    </xf>
    <xf numFmtId="166" fontId="0" fillId="4" borderId="1" applyAlignment="1" pivotButton="0" quotePrefix="0" xfId="0">
      <alignment horizontal="right" vertical="center"/>
    </xf>
    <xf numFmtId="3" fontId="0" fillId="3" borderId="1" applyAlignment="1" pivotButton="0" quotePrefix="0" xfId="0">
      <alignment horizontal="right" vertical="center"/>
    </xf>
    <xf numFmtId="0" fontId="6" fillId="5" borderId="1" pivotButton="0" quotePrefix="0" xfId="0"/>
    <xf numFmtId="0" fontId="11" fillId="7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3" fontId="0" fillId="0" borderId="1" applyAlignment="1" pivotButton="0" quotePrefix="0" xfId="0">
      <alignment horizontal="left" vertical="top" wrapText="1"/>
    </xf>
    <xf numFmtId="9" fontId="0" fillId="0" borderId="1" applyAlignment="1" pivotButton="0" quotePrefix="0" xfId="0">
      <alignment horizontal="left" vertical="top" wrapText="1"/>
    </xf>
    <xf numFmtId="0" fontId="3" fillId="0" borderId="1" pivotButton="0" quotePrefix="0" xfId="0"/>
    <xf numFmtId="0" fontId="0" fillId="0" borderId="1" pivotButton="0" quotePrefix="0" xfId="0"/>
    <xf numFmtId="0" fontId="12" fillId="6" borderId="1" applyAlignment="1" pivotButton="0" quotePrefix="0" xfId="0">
      <alignment horizontal="center" vertical="center" wrapText="1"/>
    </xf>
    <xf numFmtId="0" fontId="9" fillId="0" borderId="1" pivotButton="0" quotePrefix="0" xfId="0"/>
    <xf numFmtId="165" fontId="0" fillId="0" borderId="1" applyAlignment="1" pivotButton="0" quotePrefix="0" xfId="0">
      <alignment horizontal="right" vertical="center"/>
    </xf>
    <xf numFmtId="167" fontId="0" fillId="0" borderId="1" applyAlignment="1" pivotButton="0" quotePrefix="0" xfId="0">
      <alignment horizontal="right" vertical="center"/>
    </xf>
    <xf numFmtId="3" fontId="0" fillId="0" borderId="1" applyAlignment="1" pivotButton="0" quotePrefix="0" xfId="0">
      <alignment horizontal="right" vertical="center"/>
    </xf>
    <xf numFmtId="166" fontId="0" fillId="0" borderId="1" applyAlignment="1" pivotButton="0" quotePrefix="0" xfId="0">
      <alignment horizontal="right" vertical="center"/>
    </xf>
    <xf numFmtId="2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right" vertical="center"/>
    </xf>
    <xf numFmtId="169" fontId="0" fillId="0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right" vertical="center"/>
    </xf>
    <xf numFmtId="0" fontId="11" fillId="0" borderId="1" pivotButton="0" quotePrefix="0" xfId="0"/>
    <xf numFmtId="0" fontId="3" fillId="0" borderId="1" applyAlignment="1" pivotButton="0" quotePrefix="0" xfId="0">
      <alignment horizontal="center"/>
    </xf>
    <xf numFmtId="0" fontId="11" fillId="7" borderId="1" applyAlignment="1" pivotButton="0" quotePrefix="0" xfId="0">
      <alignment horizontal="center" wrapText="1"/>
    </xf>
    <xf numFmtId="166" fontId="0" fillId="0" borderId="1" applyAlignment="1" pivotButton="0" quotePrefix="0" xfId="0">
      <alignment horizontal="right"/>
    </xf>
    <xf numFmtId="169" fontId="0" fillId="0" borderId="1" applyAlignment="1" pivotButton="0" quotePrefix="0" xfId="0">
      <alignment horizontal="right"/>
    </xf>
    <xf numFmtId="0" fontId="11" fillId="0" borderId="1" applyAlignment="1" pivotButton="0" quotePrefix="0" xfId="0">
      <alignment horizontal="center"/>
    </xf>
    <xf numFmtId="166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dxfs count="2">
    <dxf>
      <font>
        <b val="1"/>
        <color rgb="00FFFFFF"/>
      </font>
      <fill>
        <patternFill patternType="solid">
          <fgColor rgb="0000B050"/>
          <bgColor rgb="0000B050"/>
        </patternFill>
      </fill>
    </dxf>
    <dxf>
      <font>
        <b val="1"/>
        <color rgb="00FFFFFF"/>
      </font>
      <fill>
        <patternFill patternType="solid">
          <fgColor rgb="00FF0000"/>
          <bgColor rgb="00FF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55" t="inlineStr">
        <is>
          <t>LBRX QSBS &amp; Evecxia Scenario Model — README</t>
        </is>
      </c>
    </row>
    <row r="2">
      <c r="A2" s="56" t="inlineStr"/>
    </row>
    <row r="3">
      <c r="A3" s="57" t="inlineStr">
        <is>
          <t>WHAT THIS MODEL DOES:</t>
        </is>
      </c>
    </row>
    <row r="4">
      <c r="A4" s="56" t="inlineStr">
        <is>
          <t>This Excel model analyzes tax scenarios for LBRX (LB Pharmaceuticals) Series B/C investors under QSBS rules, including §1202 exclusion and §1045 rollover into Evecxia Therapeutics.</t>
        </is>
      </c>
    </row>
    <row r="5">
      <c r="A5" s="56" t="inlineStr"/>
    </row>
    <row r="6">
      <c r="A6" s="57" t="inlineStr">
        <is>
          <t>HOW TO USE:</t>
        </is>
      </c>
    </row>
    <row r="7">
      <c r="A7" s="58" t="inlineStr">
        <is>
          <t>1. Go to the Inputs tab</t>
        </is>
      </c>
    </row>
    <row r="8">
      <c r="A8" s="56" t="inlineStr">
        <is>
          <t>2. Modify investor-specific assumptions in light blue cells:</t>
        </is>
      </c>
    </row>
    <row r="9">
      <c r="A9" s="56" t="inlineStr">
        <is>
          <t xml:space="preserve">   - Federal LTCG rate, NIIT, state tax rate (rows 5-9)</t>
        </is>
      </c>
    </row>
    <row r="10">
      <c r="A10" s="56" t="inlineStr">
        <is>
          <t xml:space="preserve">   - Series B cost basis and share price (rows 15-16)</t>
        </is>
      </c>
    </row>
    <row r="11">
      <c r="A11" s="56" t="inlineStr">
        <is>
          <t xml:space="preserve">   - Lock-up price (row 42) — EDITABLE to test different sale prices</t>
        </is>
      </c>
    </row>
    <row r="12">
      <c r="A12" s="56" t="inlineStr">
        <is>
          <t xml:space="preserve">   - Scenario valuations (rows 52-65) — Adjust based on your comp analysis</t>
        </is>
      </c>
    </row>
    <row r="13">
      <c r="A13" s="56" t="inlineStr">
        <is>
          <t>3. Review Scenarios tab for 6 tax outcome scenarios</t>
        </is>
      </c>
    </row>
    <row r="14">
      <c r="A14" s="56" t="inlineStr">
        <is>
          <t>4. Check Outputs dashboard for summary comparison</t>
        </is>
      </c>
    </row>
    <row r="15">
      <c r="A15" s="56" t="inlineStr"/>
    </row>
    <row r="16">
      <c r="A16" s="57" t="inlineStr">
        <is>
          <t>KEY TAX RULES EMBEDDED IN THIS MODEL:</t>
        </is>
      </c>
    </row>
    <row r="17">
      <c r="A17" s="56" t="inlineStr">
        <is>
          <t>• Dilution is not a taxable event; tax = sale proceeds minus basis, lot-by-lot</t>
        </is>
      </c>
    </row>
    <row r="18">
      <c r="A18" s="56" t="inlineStr">
        <is>
          <t>• §1202 requires 5 full years of holding; March 2026 sale of May 2022 stock = no exclusion</t>
        </is>
      </c>
    </row>
    <row r="19">
      <c r="A19" s="56" t="inlineStr">
        <is>
          <t>• Tranches are separate tax lots; Series B QSBS does not blend with Series C non-QSBS</t>
        </is>
      </c>
    </row>
    <row r="20">
      <c r="A20" s="56" t="inlineStr">
        <is>
          <t>• IPO conversion to common does not erase lot identity</t>
        </is>
      </c>
    </row>
    <row r="21">
      <c r="A21" s="56" t="inlineStr">
        <is>
          <t>• §1045 rollover can defer gain and preserve tacked holding period if requirements met</t>
        </is>
      </c>
    </row>
    <row r="22">
      <c r="A22" s="56" t="inlineStr"/>
    </row>
    <row r="23">
      <c r="A23" s="57" t="inlineStr">
        <is>
          <t>IMPORTANT DISCLAIMER:</t>
        </is>
      </c>
    </row>
    <row r="24">
      <c r="A24" s="58" t="inlineStr">
        <is>
          <t>This is an analytical model for illustrative purposes, NOT tax advice.</t>
        </is>
      </c>
    </row>
    <row r="25">
      <c r="A25" s="58" t="inlineStr">
        <is>
          <t>Consult a qualified CPA or tax attorney before making investment decisions.</t>
        </is>
      </c>
    </row>
    <row r="26">
      <c r="A26" s="58" t="inlineStr">
        <is>
          <t>§1045 rollovers have specific requirements; state tax treatment varies.</t>
        </is>
      </c>
    </row>
    <row r="27">
      <c r="A27" s="56" t="inlineStr"/>
    </row>
    <row r="28">
      <c r="A28" s="56" t="inlineStr">
        <is>
          <t>For questions or issues with this model, contact the model creator.</t>
        </is>
      </c>
    </row>
    <row r="29">
      <c r="A29" s="59" t="inlineStr">
        <is>
          <t>Generated: 2026-02-13 23:27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68" t="inlineStr">
        <is>
          <t>LBRX QSBS &amp; Evecxia Scenario Model</t>
        </is>
      </c>
    </row>
    <row r="2">
      <c r="A2" s="69" t="inlineStr">
        <is>
          <t>Inputs &amp; Assumptions</t>
        </is>
      </c>
    </row>
    <row r="4">
      <c r="A4" s="70" t="inlineStr">
        <is>
          <t>INVESTOR TAX PROFILE</t>
        </is>
      </c>
    </row>
    <row r="5">
      <c r="A5" s="71" t="inlineStr">
        <is>
          <t>Federal LTCG Rate</t>
        </is>
      </c>
      <c r="B5" s="72" t="n">
        <v>0.2</v>
      </c>
    </row>
    <row r="6">
      <c r="A6" s="71" t="inlineStr">
        <is>
          <t>NIIT (3.8%) Applies?</t>
        </is>
      </c>
      <c r="B6" s="73" t="inlineStr">
        <is>
          <t>YES</t>
        </is>
      </c>
    </row>
    <row r="7">
      <c r="A7" s="71" t="inlineStr">
        <is>
          <t>NIIT Rate</t>
        </is>
      </c>
      <c r="B7" s="74">
        <f>IF(B6="YES",0.038,0)</f>
        <v/>
      </c>
    </row>
    <row r="8">
      <c r="A8" s="71" t="inlineStr">
        <is>
          <t>Effective Federal Rate</t>
        </is>
      </c>
      <c r="B8" s="74">
        <f>B5+B7</f>
        <v/>
      </c>
    </row>
    <row r="9">
      <c r="A9" s="71" t="inlineStr">
        <is>
          <t>State Tax Rate</t>
        </is>
      </c>
      <c r="B9" s="72" t="n">
        <v>0</v>
      </c>
    </row>
    <row r="10">
      <c r="A10" s="71" t="inlineStr">
        <is>
          <t>Combined Tax Rate</t>
        </is>
      </c>
      <c r="B10" s="74">
        <f>B8+B9</f>
        <v/>
      </c>
    </row>
    <row r="11">
      <c r="A11" s="71" t="inlineStr">
        <is>
          <t>Federal Ordinary Income Rate</t>
        </is>
      </c>
      <c r="B11" s="72" t="n">
        <v>0.37</v>
      </c>
    </row>
    <row r="13">
      <c r="A13" s="70" t="inlineStr">
        <is>
          <t>SERIES B INVESTMENT</t>
        </is>
      </c>
    </row>
    <row r="14">
      <c r="A14" s="71" t="inlineStr">
        <is>
          <t>Series B Invest Date</t>
        </is>
      </c>
      <c r="B14" s="75" t="n">
        <v>44684</v>
      </c>
    </row>
    <row r="15">
      <c r="A15" s="71" t="inlineStr">
        <is>
          <t>Series B Cost Basis ($)</t>
        </is>
      </c>
      <c r="B15" s="76" t="n">
        <v>100000</v>
      </c>
    </row>
    <row r="16">
      <c r="A16" s="71" t="inlineStr">
        <is>
          <t>Series B Cost Per Share</t>
        </is>
      </c>
      <c r="B16" s="77" t="n">
        <v>24</v>
      </c>
    </row>
    <row r="17">
      <c r="A17" s="71" t="inlineStr">
        <is>
          <t>Series B Shares Acquired</t>
        </is>
      </c>
      <c r="B17" s="78">
        <f>B15/B16</f>
        <v/>
      </c>
    </row>
    <row r="18">
      <c r="A18" s="71" t="inlineStr">
        <is>
          <t>Series B QSBS Eligible</t>
        </is>
      </c>
      <c r="B18" s="79" t="inlineStr">
        <is>
          <t>YES</t>
        </is>
      </c>
    </row>
    <row r="19">
      <c r="A19" s="71" t="inlineStr">
        <is>
          <t>QSBS 5-Year Completion Date</t>
        </is>
      </c>
      <c r="B19" s="80">
        <f>B14+1826</f>
        <v/>
      </c>
    </row>
    <row r="21">
      <c r="A21" s="70" t="inlineStr">
        <is>
          <t>SERIES C INVESTMENT (optional)</t>
        </is>
      </c>
    </row>
    <row r="22">
      <c r="A22" s="71" t="inlineStr">
        <is>
          <t>Series C Invest Date</t>
        </is>
      </c>
    </row>
    <row r="23">
      <c r="A23" s="71" t="inlineStr">
        <is>
          <t>Series C Cost Basis ($)</t>
        </is>
      </c>
    </row>
    <row r="24">
      <c r="A24" s="71" t="inlineStr">
        <is>
          <t>Series C Cost Per Share</t>
        </is>
      </c>
      <c r="B24" s="77" t="n">
        <v>36.44</v>
      </c>
    </row>
    <row r="25">
      <c r="A25" s="71" t="inlineStr">
        <is>
          <t>Series C Shares Acquired</t>
        </is>
      </c>
      <c r="B25" s="78">
        <f>IF(B23="","",B23/B24)</f>
        <v/>
      </c>
    </row>
    <row r="26">
      <c r="A26" s="71" t="inlineStr">
        <is>
          <t>Series C QSBS Eligible</t>
        </is>
      </c>
      <c r="B26" s="79" t="inlineStr">
        <is>
          <t>NO</t>
        </is>
      </c>
    </row>
    <row r="28">
      <c r="A28" s="70" t="inlineStr">
        <is>
          <t>EVECXIA INVESTMENT (§1045)</t>
        </is>
      </c>
    </row>
    <row r="29">
      <c r="A29" s="71" t="inlineStr">
        <is>
          <t>Evecxia Purchase Date</t>
        </is>
      </c>
      <c r="B29" s="75" t="n">
        <v>46123</v>
      </c>
    </row>
    <row r="30">
      <c r="A30" s="71" t="inlineStr">
        <is>
          <t>Evecxia Share Price</t>
        </is>
      </c>
      <c r="B30" s="81" t="n">
        <v>0.1069</v>
      </c>
    </row>
    <row r="31">
      <c r="A31" s="71" t="inlineStr">
        <is>
          <t>Amount Reinvested</t>
        </is>
      </c>
      <c r="B31" s="82">
        <f>B15</f>
        <v/>
      </c>
    </row>
    <row r="32">
      <c r="A32" s="71" t="inlineStr">
        <is>
          <t>Evecxia Shares Acquired</t>
        </is>
      </c>
      <c r="B32" s="78">
        <f>B31/B30</f>
        <v/>
      </c>
    </row>
    <row r="33">
      <c r="A33" s="71" t="inlineStr">
        <is>
          <t>Evecxia QSBS Eligible</t>
        </is>
      </c>
      <c r="B33" s="73" t="inlineStr">
        <is>
          <t>YES</t>
        </is>
      </c>
    </row>
    <row r="34">
      <c r="A34" s="71" t="inlineStr">
        <is>
          <t>Evecxia Pre-Money Valuation</t>
        </is>
      </c>
      <c r="B34" s="76" t="n">
        <v>14000000</v>
      </c>
    </row>
    <row r="35">
      <c r="A35" s="71" t="inlineStr">
        <is>
          <t>Evecxia Post-Money Valuation</t>
        </is>
      </c>
      <c r="B35" s="76" t="n">
        <v>30000000</v>
      </c>
    </row>
    <row r="36">
      <c r="A36" s="71" t="inlineStr">
        <is>
          <t>Evecxia Total Shares at SerA Close</t>
        </is>
      </c>
      <c r="B36" s="78">
        <f>B35/B30</f>
        <v/>
      </c>
    </row>
    <row r="38">
      <c r="A38" s="70" t="inlineStr">
        <is>
          <t>MARKET / IPO DETAILS</t>
        </is>
      </c>
    </row>
    <row r="39">
      <c r="A39" s="71" t="inlineStr">
        <is>
          <t>IPO Date</t>
        </is>
      </c>
      <c r="B39" s="75" t="n">
        <v>45912</v>
      </c>
    </row>
    <row r="40">
      <c r="A40" s="71" t="inlineStr">
        <is>
          <t>IPO Price</t>
        </is>
      </c>
      <c r="B40" s="77" t="n">
        <v>15</v>
      </c>
    </row>
    <row r="41">
      <c r="A41" s="71" t="inlineStr">
        <is>
          <t>Lock-Up Release Date</t>
        </is>
      </c>
      <c r="B41" s="75" t="n">
        <v>46093</v>
      </c>
    </row>
    <row r="42">
      <c r="A42" s="71" t="inlineStr">
        <is>
          <t>Current / Lock-Up Price</t>
        </is>
      </c>
      <c r="B42" s="77" t="n">
        <v>24.22</v>
      </c>
    </row>
    <row r="43">
      <c r="A43" s="71" t="inlineStr">
        <is>
          <t>Shares Outstanding (post-IPO)</t>
        </is>
      </c>
      <c r="B43" s="83" t="n">
        <v>25300000</v>
      </c>
    </row>
    <row r="44">
      <c r="A44" s="71" t="inlineStr">
        <is>
          <t>Shares Outstanding (post-PIPE)</t>
        </is>
      </c>
      <c r="B44" s="83" t="n">
        <v>30000000</v>
      </c>
    </row>
    <row r="46">
      <c r="A46" s="70" t="inlineStr">
        <is>
          <t>CLINICAL TIMELINE</t>
        </is>
      </c>
    </row>
    <row r="47">
      <c r="A47" s="71" t="inlineStr">
        <is>
          <t>Phase 3 Topline Expected</t>
        </is>
      </c>
      <c r="B47" s="75" t="n">
        <v>46661</v>
      </c>
    </row>
    <row r="48">
      <c r="A48" s="71" t="inlineStr">
        <is>
          <t>Evecxia Phase 2 Readout</t>
        </is>
      </c>
      <c r="B48" s="75" t="n">
        <v>46675</v>
      </c>
    </row>
    <row r="49">
      <c r="A49" s="71" t="inlineStr">
        <is>
          <t>Evecxia IPO Target</t>
        </is>
      </c>
      <c r="B49" s="75" t="n">
        <v>46539</v>
      </c>
    </row>
    <row r="51">
      <c r="A51" s="3" t="inlineStr">
        <is>
          <t>SCENARIO VALUATIONS (from Comps)</t>
        </is>
      </c>
    </row>
    <row r="52">
      <c r="A52" s="4" t="inlineStr">
        <is>
          <t>LBRX Price — Ph3 Positive (Low)</t>
        </is>
      </c>
      <c r="B52" s="19" t="n">
        <v>50</v>
      </c>
    </row>
    <row r="53">
      <c r="A53" s="4" t="inlineStr">
        <is>
          <t>LBRX Price — Ph3 Positive (Base)</t>
        </is>
      </c>
      <c r="B53" s="19" t="n">
        <v>100</v>
      </c>
    </row>
    <row r="54">
      <c r="A54" s="4" t="inlineStr">
        <is>
          <t>LBRX Price — Ph3 Positive (High)</t>
        </is>
      </c>
      <c r="B54" s="19" t="n">
        <v>165</v>
      </c>
    </row>
    <row r="55">
      <c r="A55" s="4" t="inlineStr">
        <is>
          <t>LBRX Price — Ph3 Negative (Low)</t>
        </is>
      </c>
      <c r="B55" s="19" t="n">
        <v>3.3</v>
      </c>
    </row>
    <row r="56">
      <c r="A56" s="4" t="inlineStr">
        <is>
          <t>LBRX Price — Ph3 Negative (Base)</t>
        </is>
      </c>
      <c r="B56" s="19" t="n">
        <v>6.6</v>
      </c>
    </row>
    <row r="57">
      <c r="A57" s="4" t="inlineStr">
        <is>
          <t>LBRX Price — Ph3 Negative (High)</t>
        </is>
      </c>
      <c r="B57" s="19" t="n">
        <v>11.5</v>
      </c>
    </row>
    <row r="58">
      <c r="A58" s="4" t="inlineStr">
        <is>
          <t>Evecxia Val — Ph2 Positive (Low)</t>
        </is>
      </c>
      <c r="B58" s="18" t="n">
        <v>800000000</v>
      </c>
    </row>
    <row r="59">
      <c r="A59" s="4" t="inlineStr">
        <is>
          <t>Evecxia Val — Ph2 Positive (Base)</t>
        </is>
      </c>
      <c r="B59" s="18" t="n">
        <v>1500000000</v>
      </c>
    </row>
    <row r="60">
      <c r="A60" s="4" t="inlineStr">
        <is>
          <t>Evecxia Val — Ph2 Positive (High)</t>
        </is>
      </c>
      <c r="B60" s="18" t="n">
        <v>3000000000</v>
      </c>
    </row>
    <row r="61">
      <c r="A61" s="4" t="inlineStr">
        <is>
          <t>Evecxia Val — Ph2 Negative (Low)</t>
        </is>
      </c>
      <c r="B61" s="18" t="n">
        <v>50000000</v>
      </c>
    </row>
    <row r="62">
      <c r="A62" s="4" t="inlineStr">
        <is>
          <t>Evecxia Val — Ph2 Negative (Base)</t>
        </is>
      </c>
      <c r="B62" s="18" t="n">
        <v>120000000</v>
      </c>
    </row>
    <row r="63">
      <c r="A63" s="4" t="inlineStr">
        <is>
          <t>Evecxia Val — Ph2 Negative (High)</t>
        </is>
      </c>
      <c r="B63" s="18" t="n">
        <v>250000000</v>
      </c>
    </row>
    <row r="64">
      <c r="A64" s="4" t="inlineStr">
        <is>
          <t>Evecxia IPO Valuation</t>
        </is>
      </c>
      <c r="B64" s="18" t="n">
        <v>180000000</v>
      </c>
    </row>
    <row r="65">
      <c r="A65" s="4" t="inlineStr">
        <is>
          <t>Evecxia Shares at Readout (est.)</t>
        </is>
      </c>
      <c r="B65" s="16" t="n">
        <v>365000000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50" customWidth="1" min="2" max="2"/>
    <col width="18" customWidth="1" min="3" max="3"/>
    <col width="20" customWidth="1" min="4" max="4"/>
    <col width="40" customWidth="1" min="5" max="5"/>
  </cols>
  <sheetData>
    <row r="1">
      <c r="A1" s="35" t="inlineStr">
        <is>
          <t>Date</t>
        </is>
      </c>
      <c r="B1" s="35" t="inlineStr">
        <is>
          <t>Event</t>
        </is>
      </c>
      <c r="C1" s="35" t="inlineStr">
        <is>
          <t>Days from Series B</t>
        </is>
      </c>
      <c r="D1" s="35" t="inlineStr">
        <is>
          <t>QSBS Status</t>
        </is>
      </c>
      <c r="E1" s="35" t="inlineStr">
        <is>
          <t>Notes</t>
        </is>
      </c>
    </row>
    <row r="2">
      <c r="A2" s="36">
        <f>serb_date</f>
        <v/>
      </c>
      <c r="B2" s="37" t="inlineStr">
        <is>
          <t>Series B Closes → QSBS Clock Starts</t>
        </is>
      </c>
      <c r="C2" s="38">
        <f>A2-serb_date</f>
        <v/>
      </c>
      <c r="D2" s="39" t="inlineStr">
        <is>
          <t>Day 0</t>
        </is>
      </c>
      <c r="E2" s="40" t="inlineStr">
        <is>
          <t>QSBS holding period begins</t>
        </is>
      </c>
    </row>
    <row r="3">
      <c r="A3" s="36">
        <f>serb_date+180</f>
        <v/>
      </c>
      <c r="B3" s="37" t="inlineStr">
        <is>
          <t>6-Month §1045 Eligibility Threshold Met</t>
        </is>
      </c>
      <c r="C3" s="38">
        <f>A3-serb_date</f>
        <v/>
      </c>
      <c r="D3" s="39" t="inlineStr">
        <is>
          <t>6 months</t>
        </is>
      </c>
      <c r="E3" s="40" t="inlineStr">
        <is>
          <t>§1045 rollover now available if sold</t>
        </is>
      </c>
    </row>
    <row r="4">
      <c r="A4" s="36">
        <f>Inputs!$B$39</f>
        <v/>
      </c>
      <c r="B4" s="37" t="inlineStr">
        <is>
          <t>LBRX IPO at $15.00/share</t>
        </is>
      </c>
      <c r="C4" s="38">
        <f>A4-serb_date</f>
        <v/>
      </c>
      <c r="D4" s="39" t="inlineStr">
        <is>
          <t>IPO event</t>
        </is>
      </c>
      <c r="E4" s="40" t="inlineStr">
        <is>
          <t>Series B converts to common, heavy dilution</t>
        </is>
      </c>
    </row>
    <row r="5">
      <c r="A5" s="36">
        <f>lockup_date</f>
        <v/>
      </c>
      <c r="B5" s="37" t="inlineStr">
        <is>
          <t>Lock-Up Release (180 days post-IPO)</t>
        </is>
      </c>
      <c r="C5" s="38">
        <f>A5-serb_date</f>
        <v/>
      </c>
      <c r="D5" s="39" t="inlineStr">
        <is>
          <t>~46 months</t>
        </is>
      </c>
      <c r="E5" s="40" t="inlineStr">
        <is>
          <t>Series B can sell, but &lt; 5 years → NO §1202</t>
        </is>
      </c>
    </row>
    <row r="6">
      <c r="A6" s="36">
        <f>evecxia_purchase</f>
        <v/>
      </c>
      <c r="B6" s="37" t="inlineStr">
        <is>
          <t>Evecxia Purchase (§1045 scenario)</t>
        </is>
      </c>
      <c r="C6" s="38">
        <f>A6-serb_date</f>
        <v/>
      </c>
      <c r="D6" s="39" t="inlineStr">
        <is>
          <t>Within 60d of lock-up</t>
        </is>
      </c>
      <c r="E6" s="40" t="inlineStr">
        <is>
          <t>If §1045 rollover executed</t>
        </is>
      </c>
    </row>
    <row r="7">
      <c r="A7" s="36">
        <f>qsbs_5yr_date</f>
        <v/>
      </c>
      <c r="B7" s="37" t="inlineStr">
        <is>
          <t>5-YEAR QSBS THRESHOLD MET (Series B)</t>
        </is>
      </c>
      <c r="C7" s="38">
        <f>A7-serb_date</f>
        <v/>
      </c>
      <c r="D7" s="39" t="inlineStr">
        <is>
          <t>1826 days (5 yrs)</t>
        </is>
      </c>
      <c r="E7" s="40" t="inlineStr">
        <is>
          <t>§1202 exclusion NOW available</t>
        </is>
      </c>
    </row>
    <row r="8">
      <c r="A8" s="36">
        <f>Inputs!$B$49</f>
        <v/>
      </c>
      <c r="B8" s="37" t="inlineStr">
        <is>
          <t>Evecxia IPO (estimated)</t>
        </is>
      </c>
      <c r="C8" s="38">
        <f>A8-serb_date</f>
        <v/>
      </c>
      <c r="D8" s="39" t="inlineStr">
        <is>
          <t>Pre-readout</t>
        </is>
      </c>
      <c r="E8" s="40" t="inlineStr">
        <is>
          <t>If Evecxia goes public Q2 2027</t>
        </is>
      </c>
    </row>
    <row r="9">
      <c r="A9" s="36">
        <f>ph3_date</f>
        <v/>
      </c>
      <c r="B9" s="37" t="inlineStr">
        <is>
          <t>LBRX Phase 3 Topline (estimated)</t>
        </is>
      </c>
      <c r="C9" s="38">
        <f>A9-serb_date</f>
        <v/>
      </c>
      <c r="D9" s="39" t="inlineStr">
        <is>
          <t>~5.4 years</t>
        </is>
      </c>
      <c r="E9" s="40" t="inlineStr">
        <is>
          <t>CRITICAL: After May 3, 2027 → §1202 available</t>
        </is>
      </c>
    </row>
    <row r="10">
      <c r="A10" s="36">
        <f>evecxia_ph2_date</f>
        <v/>
      </c>
      <c r="B10" s="37" t="inlineStr">
        <is>
          <t>Evecxia Phase 2 OCD Readout (estimated)</t>
        </is>
      </c>
      <c r="C10" s="38">
        <f>A10-serb_date</f>
        <v/>
      </c>
      <c r="D10" s="39" t="inlineStr">
        <is>
          <t>~5.45 years</t>
        </is>
      </c>
      <c r="E10" s="40" t="inlineStr">
        <is>
          <t>§1045→§1202 chain value inflection</t>
        </is>
      </c>
    </row>
    <row r="13">
      <c r="A13" s="41" t="inlineStr">
        <is>
          <t>KEY FLAGS (formula-driven):</t>
        </is>
      </c>
    </row>
    <row r="14">
      <c r="A14" s="37" t="inlineStr">
        <is>
          <t>Lock-up sale before 5-year QSBS?</t>
        </is>
      </c>
      <c r="B14" s="42">
        <f>IF(lockup_date&lt;qsbs_5yr_date,"YES - NO §1202 AVAILABLE","NO - §1202 AVAILABLE")</f>
        <v/>
      </c>
      <c r="E14" s="43" t="inlineStr">
        <is>
          <t>Critical for tax planning</t>
        </is>
      </c>
    </row>
    <row r="15">
      <c r="A15" s="37" t="inlineStr">
        <is>
          <t>Phase 3 readout after QSBS 5-year?</t>
        </is>
      </c>
      <c r="B15" s="42">
        <f>IF(ph3_date&gt;qsbs_5yr_date,"YES - §1202 AVAILABLE","NO - TOO EARLY")</f>
        <v/>
      </c>
      <c r="E15" s="43" t="inlineStr">
        <is>
          <t>Can hold through Ph3 with §1202</t>
        </is>
      </c>
    </row>
    <row r="16">
      <c r="A16" s="37" t="inlineStr">
        <is>
          <t>§1045 holding &gt; 6 months at lock-up?</t>
        </is>
      </c>
      <c r="B16" s="42">
        <f>IF((lockup_date-serb_date)&gt;180,"YES - §1045 ELIGIBLE","NO")</f>
        <v/>
      </c>
      <c r="E16" s="43" t="inlineStr">
        <is>
          <t>Series B meets 6-month requirement</t>
        </is>
      </c>
    </row>
    <row r="17">
      <c r="A17" s="37" t="inlineStr">
        <is>
          <t>Evecxia purchase within 60 days?</t>
        </is>
      </c>
      <c r="B17" s="42">
        <f>IF((evecxia_purchase-lockup_date)&lt;=60,"YES - WITHIN WINDOW","NO - TOO LATE")</f>
        <v/>
      </c>
      <c r="E17" s="43" t="inlineStr">
        <is>
          <t>Must reinvest within 60 days</t>
        </is>
      </c>
    </row>
    <row r="18">
      <c r="A18" s="37" t="inlineStr">
        <is>
          <t>Tacked holding at Evecxia sale (days)</t>
        </is>
      </c>
      <c r="B18" s="44">
        <f>evecxia_ph2_date-serb_date</f>
        <v/>
      </c>
      <c r="E18" s="43" t="inlineStr">
        <is>
          <t>Holding period tacks from Series B date</t>
        </is>
      </c>
    </row>
    <row r="19">
      <c r="A19" s="37" t="inlineStr">
        <is>
          <t>Tacked holding at Evecxia sale (years)</t>
        </is>
      </c>
      <c r="B19" s="45">
        <f>(evecxia_ph2_date-serb_date)/365.25</f>
        <v/>
      </c>
      <c r="E19" s="43" t="inlineStr">
        <is>
          <t>&gt; 5 years → §1202 on Evecxia sale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25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2" customWidth="1" min="9" max="9"/>
    <col width="50" customWidth="1" min="10" max="10"/>
    <col width="60" customWidth="1" min="11" max="11"/>
  </cols>
  <sheetData>
    <row r="1">
      <c r="A1" s="84" t="inlineStr">
        <is>
          <t>COMP SET 1: LBRX POST-PHASE 3 POSITIVE READOUT VALUATION</t>
        </is>
      </c>
      <c r="B1" s="108" t="n"/>
      <c r="C1" s="108" t="n"/>
      <c r="D1" s="108" t="n"/>
      <c r="E1" s="108" t="n"/>
      <c r="F1" s="108" t="n"/>
      <c r="G1" s="108" t="n"/>
      <c r="H1" s="108" t="n"/>
      <c r="I1" s="108" t="n"/>
      <c r="J1" s="108" t="n"/>
      <c r="K1" s="109" t="n"/>
    </row>
    <row r="2">
      <c r="A2" s="85" t="inlineStr">
        <is>
          <t>Company</t>
        </is>
      </c>
      <c r="B2" s="85" t="inlineStr">
        <is>
          <t>Ticker</t>
        </is>
      </c>
      <c r="C2" s="85" t="inlineStr">
        <is>
          <t>Indication</t>
        </is>
      </c>
      <c r="D2" s="85" t="inlineStr">
        <is>
          <t>Stage</t>
        </is>
      </c>
      <c r="E2" s="85" t="inlineStr">
        <is>
          <t>Event</t>
        </is>
      </c>
      <c r="F2" s="85" t="inlineStr">
        <is>
          <t>Event Date</t>
        </is>
      </c>
      <c r="G2" s="85" t="inlineStr">
        <is>
          <t>Mkt Cap ($M)</t>
        </is>
      </c>
      <c r="H2" s="85" t="inlineStr">
        <is>
          <t>EV ($M)</t>
        </is>
      </c>
      <c r="I2" s="85" t="inlineStr">
        <is>
          <t>% Move</t>
        </is>
      </c>
      <c r="J2" s="85" t="inlineStr">
        <is>
          <t>Rationale</t>
        </is>
      </c>
      <c r="K2" s="47" t="inlineStr">
        <is>
          <t>Source</t>
        </is>
      </c>
    </row>
    <row r="3">
      <c r="A3" s="86" t="inlineStr">
        <is>
          <t>Karuna Therapeutics</t>
        </is>
      </c>
      <c r="B3" s="86" t="inlineStr">
        <is>
          <t>KRTX</t>
        </is>
      </c>
      <c r="C3" s="86" t="inlineStr">
        <is>
          <t>Schizophrenia (KarXT)</t>
        </is>
      </c>
      <c r="D3" s="86" t="inlineStr">
        <is>
          <t>FDA review stage</t>
        </is>
      </c>
      <c r="E3" s="86" t="inlineStr">
        <is>
          <t>BMY Acquisition Announced</t>
        </is>
      </c>
      <c r="F3" s="86" t="inlineStr">
        <is>
          <t>Dec 22 2023</t>
        </is>
      </c>
      <c r="G3" s="87" t="n">
        <v>14000</v>
      </c>
      <c r="H3" s="87" t="n">
        <v>12700</v>
      </c>
      <c r="I3" s="88" t="n">
        <v>0.53</v>
      </c>
      <c r="J3" s="86" t="inlineStr">
        <is>
          <t>Premier schizophrenia comp, 330 per share</t>
        </is>
      </c>
      <c r="K3" s="48" t="inlineStr">
        <is>
          <t>BMY press release Dec 22, 2023</t>
        </is>
      </c>
    </row>
    <row r="4">
      <c r="A4" s="86" t="inlineStr">
        <is>
          <t>Intra-Cellular Therapies</t>
        </is>
      </c>
      <c r="B4" s="86" t="inlineStr">
        <is>
          <t>ITCI</t>
        </is>
      </c>
      <c r="C4" s="86" t="inlineStr">
        <is>
          <t>Schizophrenia + Bipolar (Caplyta)</t>
        </is>
      </c>
      <c r="D4" s="86" t="inlineStr">
        <is>
          <t>FDA approved, commercial</t>
        </is>
      </c>
      <c r="E4" s="86" t="inlineStr">
        <is>
          <t>JNJ Acquisition Announced</t>
        </is>
      </c>
      <c r="F4" s="86" t="inlineStr">
        <is>
          <t>Jan 13 2025</t>
        </is>
      </c>
      <c r="G4" s="87" t="n">
        <v>14600</v>
      </c>
      <c r="H4" s="87" t="n">
        <v>14600</v>
      </c>
      <c r="I4" s="88" t="n">
        <v>0.39</v>
      </c>
      <c r="J4" s="86" t="inlineStr">
        <is>
          <t>CNS antipsychotic, 132 per share, 2024 revenue 481M</t>
        </is>
      </c>
      <c r="K4" s="48" t="inlineStr">
        <is>
          <t>JNJ press release Jan 13, 2025</t>
        </is>
      </c>
    </row>
    <row r="5">
      <c r="A5" s="86" t="inlineStr">
        <is>
          <t>Cerevel Therapeutics</t>
        </is>
      </c>
      <c r="B5" s="86" t="inlineStr">
        <is>
          <t>CERE</t>
        </is>
      </c>
      <c r="C5" s="86" t="inlineStr">
        <is>
          <t>Schizophrenia (emraclidine)</t>
        </is>
      </c>
      <c r="D5" s="86" t="inlineStr">
        <is>
          <t>Phase 2 (pre-data at acquisition)</t>
        </is>
      </c>
      <c r="E5" s="86" t="inlineStr">
        <is>
          <t>AbbVie Acquisition Announced</t>
        </is>
      </c>
      <c r="F5" s="86" t="inlineStr">
        <is>
          <t>Dec 6 2023</t>
        </is>
      </c>
      <c r="G5" s="87" t="n">
        <v>8700</v>
      </c>
      <c r="H5" s="87" t="n">
        <v>8700</v>
      </c>
      <c r="I5" s="88" t="n">
        <v>0.22</v>
      </c>
      <c r="J5" s="86" t="inlineStr">
        <is>
          <t>CAUTION: Emraclidine Ph2 failed Nov 2024, 3.5B impairment</t>
        </is>
      </c>
      <c r="K5" s="48" t="inlineStr">
        <is>
          <t>AbbVie press release Dec 6, 2023</t>
        </is>
      </c>
    </row>
    <row r="6">
      <c r="A6" s="86" t="inlineStr">
        <is>
          <t>Neurocrine Biosciences</t>
        </is>
      </c>
      <c r="B6" s="86" t="inlineStr">
        <is>
          <t>NBIX</t>
        </is>
      </c>
      <c r="C6" s="86" t="inlineStr">
        <is>
          <t>Tardive dyskinesia (Ingrezza)</t>
        </is>
      </c>
      <c r="D6" s="86" t="inlineStr">
        <is>
          <t>Commercial (approved 2017)</t>
        </is>
      </c>
      <c r="E6" s="86" t="inlineStr">
        <is>
          <t>Current Market Cap</t>
        </is>
      </c>
      <c r="F6" s="86" t="inlineStr">
        <is>
          <t>Feb 13 2026</t>
        </is>
      </c>
      <c r="G6" s="87" t="n">
        <v>12300</v>
      </c>
      <c r="H6" s="87" t="n">
        <v>12300</v>
      </c>
      <c r="I6" s="86" t="inlineStr">
        <is>
          <t>N/A</t>
        </is>
      </c>
      <c r="J6" s="86" t="inlineStr">
        <is>
          <t>CNS commercial comp, long-term value ceiling</t>
        </is>
      </c>
      <c r="K6" s="48" t="inlineStr">
        <is>
          <t>Yahoo Finance Feb 2026 (updated from 15B)</t>
        </is>
      </c>
    </row>
    <row r="7">
      <c r="A7" s="86" t="inlineStr">
        <is>
          <t>Acadia Pharmaceuticals</t>
        </is>
      </c>
      <c r="B7" s="86" t="inlineStr">
        <is>
          <t>ACAD</t>
        </is>
      </c>
      <c r="C7" s="86" t="inlineStr">
        <is>
          <t>Parkinson's psychosis (Nuplazid)</t>
        </is>
      </c>
      <c r="D7" s="86" t="inlineStr">
        <is>
          <t>Commercial (approved 2016)</t>
        </is>
      </c>
      <c r="E7" s="86" t="inlineStr">
        <is>
          <t>Current Market Cap</t>
        </is>
      </c>
      <c r="F7" s="86" t="inlineStr">
        <is>
          <t>Feb 13 2026</t>
        </is>
      </c>
      <c r="G7" s="87" t="n">
        <v>4300</v>
      </c>
      <c r="H7" s="87" t="n">
        <v>4300</v>
      </c>
      <c r="I7" s="86" t="inlineStr">
        <is>
          <t>N/A</t>
        </is>
      </c>
      <c r="J7" s="86" t="inlineStr">
        <is>
          <t>Psychiatric niche indication, single-product CNS</t>
        </is>
      </c>
      <c r="K7" s="48" t="inlineStr">
        <is>
          <t>Yahoo Finance Feb 2026 (updated from 3.8B)</t>
        </is>
      </c>
    </row>
    <row r="9">
      <c r="A9" s="89" t="inlineStr">
        <is>
          <t>DERIVED LBRX POSITIVE READOUT RANGE:</t>
        </is>
      </c>
    </row>
    <row r="10">
      <c r="A10" s="90" t="inlineStr">
        <is>
          <t>Low</t>
        </is>
      </c>
      <c r="B10" s="90" t="inlineStr">
        <is>
          <t>$1.5B mkt cap (~$50/share)</t>
        </is>
      </c>
      <c r="J10" s="90" t="inlineStr">
        <is>
          <t>Discount to Cerevel emraclidine-only; single-asset Phase 3 positive but pre-NDA</t>
        </is>
      </c>
    </row>
    <row r="11">
      <c r="A11" s="90" t="inlineStr">
        <is>
          <t>Base</t>
        </is>
      </c>
      <c r="B11" s="90" t="inlineStr">
        <is>
          <t>$3.0B mkt cap (~$100/share)</t>
        </is>
      </c>
      <c r="J11" s="90" t="inlineStr">
        <is>
          <t>Between ITCI at approval ($1.8B historical) and Cerevel ($8.7B); accounts for positive Phase 3 + pipeline</t>
        </is>
      </c>
    </row>
    <row r="12">
      <c r="A12" s="90" t="inlineStr">
        <is>
          <t>High</t>
        </is>
      </c>
      <c r="B12" s="90" t="inlineStr">
        <is>
          <t>$5.0B mkt cap (~$165/share)</t>
        </is>
      </c>
      <c r="J12" s="90" t="inlineStr">
        <is>
          <t>Approaches Karuna pre-deal valuation; assumes very strong data + M&amp;A premium expectations</t>
        </is>
      </c>
    </row>
    <row r="14">
      <c r="A14" s="84" t="inlineStr">
        <is>
          <t>COMP SET 2: LBRX POST-PHASE 3 NEGATIVE READOUT / FAILURE</t>
        </is>
      </c>
      <c r="B14" s="108" t="n"/>
      <c r="C14" s="108" t="n"/>
      <c r="D14" s="108" t="n"/>
      <c r="E14" s="108" t="n"/>
      <c r="F14" s="108" t="n"/>
      <c r="G14" s="108" t="n"/>
      <c r="H14" s="108" t="n"/>
      <c r="I14" s="108" t="n"/>
      <c r="J14" s="108" t="n"/>
      <c r="K14" s="109" t="n"/>
    </row>
    <row r="15">
      <c r="A15" s="85" t="inlineStr">
        <is>
          <t>Company</t>
        </is>
      </c>
      <c r="B15" s="85" t="inlineStr">
        <is>
          <t>Ticker</t>
        </is>
      </c>
      <c r="C15" s="85" t="inlineStr">
        <is>
          <t>Indication</t>
        </is>
      </c>
      <c r="D15" s="85" t="inlineStr">
        <is>
          <t>Stage</t>
        </is>
      </c>
      <c r="E15" s="85" t="inlineStr">
        <is>
          <t>Event</t>
        </is>
      </c>
      <c r="F15" s="85" t="inlineStr">
        <is>
          <t>Event Date</t>
        </is>
      </c>
      <c r="G15" s="85" t="inlineStr">
        <is>
          <t>Mkt Cap ($M)</t>
        </is>
      </c>
      <c r="H15" s="85" t="inlineStr">
        <is>
          <t>EV ($M)</t>
        </is>
      </c>
      <c r="I15" s="85" t="inlineStr">
        <is>
          <t>% Move</t>
        </is>
      </c>
      <c r="J15" s="85" t="inlineStr">
        <is>
          <t>Rationale</t>
        </is>
      </c>
      <c r="K15" s="47" t="inlineStr">
        <is>
          <t>Source</t>
        </is>
      </c>
    </row>
    <row r="16">
      <c r="A16" s="86" t="inlineStr">
        <is>
          <t>Minerva Neurosciences</t>
        </is>
      </c>
      <c r="B16" s="86" t="inlineStr">
        <is>
          <t>NERV</t>
        </is>
      </c>
      <c r="C16" s="86" t="inlineStr">
        <is>
          <t>Schizophrenia negative symptoms</t>
        </is>
      </c>
      <c r="D16" s="86" t="inlineStr">
        <is>
          <t>Phase 3 failure</t>
        </is>
      </c>
      <c r="E16" s="86" t="inlineStr">
        <is>
          <t>Roluperidone Ph3 Failure</t>
        </is>
      </c>
      <c r="F16" s="86" t="inlineStr">
        <is>
          <t>May 29 2020</t>
        </is>
      </c>
      <c r="G16" s="87" t="n">
        <v>100</v>
      </c>
      <c r="H16" s="87" t="n">
        <v>100</v>
      </c>
      <c r="I16" s="88" t="n">
        <v>-0.8100000000000001</v>
      </c>
      <c r="J16" s="86" t="inlineStr">
        <is>
          <t>Direct schizophrenia Ph3 failure, 550M to 100M</t>
        </is>
      </c>
      <c r="K16" s="48" t="inlineStr">
        <is>
          <t>Seeking Alpha, Minerva PR May 29, 2020</t>
        </is>
      </c>
    </row>
    <row r="17">
      <c r="A17" s="86" t="inlineStr">
        <is>
          <t>Sage Therapeutics</t>
        </is>
      </c>
      <c r="B17" s="86" t="inlineStr">
        <is>
          <t>SAGE</t>
        </is>
      </c>
      <c r="C17" s="86" t="inlineStr">
        <is>
          <t>Major depressive disorder</t>
        </is>
      </c>
      <c r="D17" s="86" t="inlineStr">
        <is>
          <t>Phase 3 failure</t>
        </is>
      </c>
      <c r="E17" s="86" t="inlineStr">
        <is>
          <t>SAGE-217 MOUNTAIN Failure</t>
        </is>
      </c>
      <c r="F17" s="86" t="inlineStr">
        <is>
          <t>Dec 5 2019</t>
        </is>
      </c>
      <c r="G17" s="87" t="n">
        <v>3700</v>
      </c>
      <c r="H17" s="87" t="n">
        <v>3700</v>
      </c>
      <c r="I17" s="88" t="n">
        <v>-0.6</v>
      </c>
      <c r="J17" s="86" t="inlineStr">
        <is>
          <t>CNS psych Ph3 failure in depression, 8B to 3.7B</t>
        </is>
      </c>
      <c r="K17" s="48" t="inlineStr">
        <is>
          <t>Sage press release Dec 5, 2019</t>
        </is>
      </c>
    </row>
    <row r="19">
      <c r="A19" s="89" t="inlineStr">
        <is>
          <t>DERIVED LBRX NEGATIVE READOUT RANGE:</t>
        </is>
      </c>
    </row>
    <row r="20">
      <c r="A20" s="90" t="inlineStr">
        <is>
          <t>Low</t>
        </is>
      </c>
      <c r="B20" s="90" t="inlineStr">
        <is>
          <t>$100M mkt cap (~$3.30/share)</t>
        </is>
      </c>
      <c r="J20" s="90" t="inlineStr">
        <is>
          <t>Minerva-style wipeout; total loss of schizophrenia thesis, bipolar program too early</t>
        </is>
      </c>
    </row>
    <row r="21">
      <c r="A21" s="90" t="inlineStr">
        <is>
          <t>Base</t>
        </is>
      </c>
      <c r="B21" s="90" t="inlineStr">
        <is>
          <t>$200M mkt cap (~$6.60/share)</t>
        </is>
      </c>
      <c r="J21" s="90" t="inlineStr">
        <is>
          <t>Cash floor (~$300M+ cash) minus burn; bipolar program provides option value</t>
        </is>
      </c>
    </row>
    <row r="22">
      <c r="A22" s="90" t="inlineStr">
        <is>
          <t>High</t>
        </is>
      </c>
      <c r="B22" s="90" t="inlineStr">
        <is>
          <t>$350M mkt cap (~$11.50/share)</t>
        </is>
      </c>
      <c r="J22" s="90" t="inlineStr">
        <is>
          <t>Modest decline; if failure is dose-related or borderline, market may give credit for re-try + bipolar pipeline</t>
        </is>
      </c>
    </row>
    <row r="24">
      <c r="A24" s="84" t="inlineStr">
        <is>
          <t>COMP SET 3: EVECXIA PRE-PHASE 2 READOUT / IPO VALUATION</t>
        </is>
      </c>
      <c r="B24" s="108" t="n"/>
      <c r="C24" s="108" t="n"/>
      <c r="D24" s="108" t="n"/>
      <c r="E24" s="108" t="n"/>
      <c r="F24" s="108" t="n"/>
      <c r="G24" s="108" t="n"/>
      <c r="H24" s="108" t="n"/>
      <c r="I24" s="108" t="n"/>
      <c r="J24" s="108" t="n"/>
      <c r="K24" s="109" t="n"/>
    </row>
    <row r="25">
      <c r="A25" s="85" t="inlineStr">
        <is>
          <t>Company</t>
        </is>
      </c>
      <c r="B25" s="85" t="inlineStr">
        <is>
          <t>Ticker</t>
        </is>
      </c>
      <c r="C25" s="85" t="inlineStr">
        <is>
          <t>Indication</t>
        </is>
      </c>
      <c r="D25" s="85" t="inlineStr">
        <is>
          <t>Stage</t>
        </is>
      </c>
      <c r="E25" s="85" t="inlineStr">
        <is>
          <t>Event</t>
        </is>
      </c>
      <c r="F25" s="85" t="inlineStr">
        <is>
          <t>Event Date</t>
        </is>
      </c>
      <c r="G25" s="85" t="inlineStr">
        <is>
          <t>Mkt Cap ($M)</t>
        </is>
      </c>
      <c r="H25" s="85" t="inlineStr">
        <is>
          <t>EV ($M)</t>
        </is>
      </c>
      <c r="I25" s="85" t="inlineStr">
        <is>
          <t>% Move</t>
        </is>
      </c>
      <c r="J25" s="85" t="inlineStr">
        <is>
          <t>Rationale</t>
        </is>
      </c>
      <c r="K25" s="47" t="inlineStr">
        <is>
          <t>Source</t>
        </is>
      </c>
    </row>
    <row r="26">
      <c r="A26" s="86" t="inlineStr">
        <is>
          <t>Karuna Therapeutics</t>
        </is>
      </c>
      <c r="B26" s="86" t="inlineStr">
        <is>
          <t>KRTX</t>
        </is>
      </c>
      <c r="C26" s="86" t="inlineStr">
        <is>
          <t>Schizophrenia (KarXT)</t>
        </is>
      </c>
      <c r="D26" s="86" t="inlineStr">
        <is>
          <t>Pre-Phase 2 data</t>
        </is>
      </c>
      <c r="E26" s="86" t="inlineStr">
        <is>
          <t>IPO</t>
        </is>
      </c>
      <c r="F26" s="86" t="inlineStr">
        <is>
          <t>Jul 1 2019</t>
        </is>
      </c>
      <c r="G26" s="87" t="n">
        <v>414</v>
      </c>
      <c r="H26" s="87" t="n">
        <v>414</v>
      </c>
      <c r="I26" s="86" t="inlineStr">
        <is>
          <t>N/A</t>
        </is>
      </c>
      <c r="J26" s="86" t="inlineStr">
        <is>
          <t>Novel mechanism psych company at IPO, Phase 2 data came Nov 2019</t>
        </is>
      </c>
      <c r="K26" s="48" t="inlineStr">
        <is>
          <t>Karuna S-1, Streetwise Reports Nov 2019</t>
        </is>
      </c>
    </row>
    <row r="27">
      <c r="A27" s="86" t="inlineStr">
        <is>
          <t>Axsome Therapeutics</t>
        </is>
      </c>
      <c r="B27" s="86" t="inlineStr">
        <is>
          <t>AXSM</t>
        </is>
      </c>
      <c r="C27" s="86" t="inlineStr">
        <is>
          <t>Multi-indication CNS platform</t>
        </is>
      </c>
      <c r="D27" s="86" t="inlineStr">
        <is>
          <t>Early clinical</t>
        </is>
      </c>
      <c r="E27" s="86" t="inlineStr">
        <is>
          <t>IPO</t>
        </is>
      </c>
      <c r="F27" s="86" t="inlineStr">
        <is>
          <t>Jan 1 2015</t>
        </is>
      </c>
      <c r="G27" s="87" t="n">
        <v>155</v>
      </c>
      <c r="H27" s="87" t="n">
        <v>155</v>
      </c>
      <c r="I27" s="86" t="inlineStr">
        <is>
          <t>N/A</t>
        </is>
      </c>
      <c r="J27" s="86" t="inlineStr">
        <is>
          <t>Psych multi-indication platform, IPOd small, re-rated to 9.4B by 2026</t>
        </is>
      </c>
      <c r="K27" s="48" t="inlineStr">
        <is>
          <t>StockAnalysis.com</t>
        </is>
      </c>
    </row>
    <row r="29">
      <c r="A29" s="89" t="inlineStr">
        <is>
          <t>DERIVED EVECXIA IPO RANGE (Q2 2027):</t>
        </is>
      </c>
    </row>
    <row r="30">
      <c r="A30" s="90" t="inlineStr">
        <is>
          <t>Low</t>
        </is>
      </c>
      <c r="B30" s="90" t="inlineStr">
        <is>
          <t>$150M post-money</t>
        </is>
      </c>
      <c r="J30" s="90" t="inlineStr">
        <is>
          <t>Conservative; Phase 1 complete, OCD Phase 2 enrolling, no data yet. Reflects Series A step-up.</t>
        </is>
      </c>
    </row>
    <row r="31">
      <c r="A31" s="90" t="inlineStr">
        <is>
          <t>Base</t>
        </is>
      </c>
      <c r="B31" s="90" t="inlineStr">
        <is>
          <t>$400M post-money</t>
        </is>
      </c>
      <c r="J31" s="90" t="inlineStr">
        <is>
          <t>In line with Karuna at IPO; assumes strong investor interest in serotonin platform + OCD thesis</t>
        </is>
      </c>
    </row>
    <row r="32">
      <c r="A32" s="90" t="inlineStr">
        <is>
          <t>High</t>
        </is>
      </c>
      <c r="B32" s="90" t="inlineStr">
        <is>
          <t>$750M post-money</t>
        </is>
      </c>
      <c r="J32" s="90" t="inlineStr">
        <is>
          <t>Assumes pre-data hype cycle comparable to Karuna pre-Phase 2; M&amp;A interest creates premium</t>
        </is>
      </c>
    </row>
    <row r="34">
      <c r="A34" s="84" t="inlineStr">
        <is>
          <t>COMP SET 4: EVECXIA POST-PHASE 2 POSITIVE VS NEGATIVE OUTCOMES</t>
        </is>
      </c>
      <c r="B34" s="108" t="n"/>
      <c r="C34" s="108" t="n"/>
      <c r="D34" s="108" t="n"/>
      <c r="E34" s="108" t="n"/>
      <c r="F34" s="108" t="n"/>
      <c r="G34" s="108" t="n"/>
      <c r="H34" s="108" t="n"/>
      <c r="I34" s="108" t="n"/>
      <c r="J34" s="108" t="n"/>
      <c r="K34" s="109" t="n"/>
    </row>
    <row r="35">
      <c r="A35" s="85" t="inlineStr">
        <is>
          <t>Company</t>
        </is>
      </c>
      <c r="B35" s="85" t="inlineStr">
        <is>
          <t>Ticker</t>
        </is>
      </c>
      <c r="C35" s="85" t="inlineStr">
        <is>
          <t>Indication</t>
        </is>
      </c>
      <c r="D35" s="85" t="inlineStr">
        <is>
          <t>Stage</t>
        </is>
      </c>
      <c r="E35" s="85" t="inlineStr">
        <is>
          <t>Event</t>
        </is>
      </c>
      <c r="F35" s="85" t="inlineStr">
        <is>
          <t>Event Date</t>
        </is>
      </c>
      <c r="G35" s="85" t="inlineStr">
        <is>
          <t>Mkt Cap ($M)</t>
        </is>
      </c>
      <c r="H35" s="85" t="inlineStr">
        <is>
          <t>EV ($M)</t>
        </is>
      </c>
      <c r="I35" s="85" t="inlineStr">
        <is>
          <t>% Move</t>
        </is>
      </c>
      <c r="J35" s="85" t="inlineStr">
        <is>
          <t>Rationale</t>
        </is>
      </c>
      <c r="K35" s="47" t="inlineStr">
        <is>
          <t>Source</t>
        </is>
      </c>
    </row>
    <row r="36">
      <c r="A36" s="86" t="inlineStr">
        <is>
          <t>Karuna Therapeutics</t>
        </is>
      </c>
      <c r="B36" s="86" t="inlineStr">
        <is>
          <t>KRTX</t>
        </is>
      </c>
      <c r="C36" s="86" t="inlineStr">
        <is>
          <t>Schizophrenia (KarXT)</t>
        </is>
      </c>
      <c r="D36" s="86" t="inlineStr">
        <is>
          <t>Phase 2 positive</t>
        </is>
      </c>
      <c r="E36" s="86" t="inlineStr">
        <is>
          <t>Phase 2 Data Announced</t>
        </is>
      </c>
      <c r="F36" s="86" t="inlineStr">
        <is>
          <t>Nov 18 2019</t>
        </is>
      </c>
      <c r="G36" s="87" t="n">
        <v>2000</v>
      </c>
      <c r="H36" s="87" t="n">
        <v>2000</v>
      </c>
      <c r="I36" s="88" t="n">
        <v>3.75</v>
      </c>
      <c r="J36" s="86" t="inlineStr">
        <is>
          <t>Premier Phase 2 psych readout comp, 11.6-pt PANSS reduction, $414M → $2B in 1 day</t>
        </is>
      </c>
      <c r="K36" s="48" t="inlineStr">
        <is>
          <t>Karuna press release Nov 18, 2019</t>
        </is>
      </c>
    </row>
    <row r="37">
      <c r="A37" s="86" t="inlineStr">
        <is>
          <t>Sage Therapeutics</t>
        </is>
      </c>
      <c r="B37" s="86" t="inlineStr">
        <is>
          <t>SAGE</t>
        </is>
      </c>
      <c r="C37" s="86" t="inlineStr">
        <is>
          <t>Postpartum depression</t>
        </is>
      </c>
      <c r="D37" s="86" t="inlineStr">
        <is>
          <t>Phase 2 success</t>
        </is>
      </c>
      <c r="E37" s="86" t="inlineStr">
        <is>
          <t>Phase 2 PPD Success</t>
        </is>
      </c>
      <c r="F37" s="86" t="inlineStr">
        <is>
          <t>Jan 1 2018</t>
        </is>
      </c>
      <c r="G37" s="87" t="n">
        <v>1500</v>
      </c>
      <c r="H37" s="87" t="n">
        <v>1500</v>
      </c>
      <c r="I37" s="86" t="inlineStr">
        <is>
          <t>N/A</t>
        </is>
      </c>
      <c r="J37" s="86" t="inlineStr">
        <is>
          <t>Phase 2 psych success trajectory, rose from ~$80 to ~$190 in 2019</t>
        </is>
      </c>
      <c r="K37" s="48" t="inlineStr">
        <is>
          <t>Sage press releases 2018-2019</t>
        </is>
      </c>
    </row>
    <row r="38">
      <c r="A38" s="86" t="inlineStr">
        <is>
          <t>Axsome Therapeutics</t>
        </is>
      </c>
      <c r="B38" s="86" t="inlineStr">
        <is>
          <t>AXSM</t>
        </is>
      </c>
      <c r="C38" s="86" t="inlineStr">
        <is>
          <t>Major depressive disorder</t>
        </is>
      </c>
      <c r="D38" s="86" t="inlineStr">
        <is>
          <t>Phase 3 MDD success</t>
        </is>
      </c>
      <c r="E38" s="86" t="inlineStr">
        <is>
          <t>AXS-05 Ph3 MDD Success</t>
        </is>
      </c>
      <c r="F38" s="86" t="inlineStr">
        <is>
          <t>Dec 1 2019</t>
        </is>
      </c>
      <c r="G38" s="87" t="n">
        <v>3800</v>
      </c>
      <c r="H38" s="87" t="n">
        <v>3800</v>
      </c>
      <c r="I38" s="86" t="inlineStr">
        <is>
          <t>N/A</t>
        </is>
      </c>
      <c r="J38" s="86" t="inlineStr">
        <is>
          <t>Depression Phase 3 success, grew from ~$155M at IPO to ~$3.8B end 2019</t>
        </is>
      </c>
      <c r="K38" s="48" t="inlineStr">
        <is>
          <t>Axsome press releases</t>
        </is>
      </c>
    </row>
    <row r="40">
      <c r="A40" s="89" t="inlineStr">
        <is>
          <t>DERIVED EVECXIA POST-PHASE 2 POSITIVE RANGE:</t>
        </is>
      </c>
    </row>
    <row r="41">
      <c r="A41" s="90" t="inlineStr">
        <is>
          <t>Low</t>
        </is>
      </c>
      <c r="B41" s="90" t="inlineStr">
        <is>
          <t>$800M</t>
        </is>
      </c>
      <c r="J41" s="90" t="inlineStr">
        <is>
          <t>Modest positive; OCD data supportive but not blockbuster</t>
        </is>
      </c>
    </row>
    <row r="42">
      <c r="A42" s="90" t="inlineStr">
        <is>
          <t>Base</t>
        </is>
      </c>
      <c r="B42" s="90" t="inlineStr">
        <is>
          <t>$1.5B</t>
        </is>
      </c>
      <c r="J42" s="90" t="inlineStr">
        <is>
          <t>Clearly positive Phase 2; validates serotonin platform; M&amp;A interest intensifies</t>
        </is>
      </c>
    </row>
    <row r="43">
      <c r="A43" s="90" t="inlineStr">
        <is>
          <t>High</t>
        </is>
      </c>
      <c r="B43" s="90" t="inlineStr">
        <is>
          <t>$3.0B</t>
        </is>
      </c>
      <c r="J43" s="90" t="inlineStr">
        <is>
          <t>Karuna-style blowout; data exceeds expectations; bidding war / strategic premium</t>
        </is>
      </c>
    </row>
    <row r="45">
      <c r="A45" s="89" t="inlineStr">
        <is>
          <t>DERIVED EVECXIA POST-PHASE 2 NEGATIVE RANGE:</t>
        </is>
      </c>
    </row>
    <row r="46">
      <c r="A46" s="90" t="inlineStr">
        <is>
          <t>Low</t>
        </is>
      </c>
      <c r="B46" s="90" t="inlineStr">
        <is>
          <t>$50M</t>
        </is>
      </c>
      <c r="J46" s="90" t="inlineStr">
        <is>
          <t>Cash-floor wipeout; OCD thesis invalidated</t>
        </is>
      </c>
    </row>
    <row r="47">
      <c r="A47" s="90" t="inlineStr">
        <is>
          <t>Base</t>
        </is>
      </c>
      <c r="B47" s="90" t="inlineStr">
        <is>
          <t>$120M</t>
        </is>
      </c>
      <c r="J47" s="90" t="inlineStr">
        <is>
          <t>Failed primary but secondary signals; platform retains option value in other indications</t>
        </is>
      </c>
    </row>
    <row r="48">
      <c r="A48" s="90" t="inlineStr">
        <is>
          <t>High</t>
        </is>
      </c>
      <c r="B48" s="90" t="inlineStr">
        <is>
          <t>$250M</t>
        </is>
      </c>
      <c r="J48" s="90" t="inlineStr">
        <is>
          <t>Borderline miss; dose/endpoint issue; still fundable</t>
        </is>
      </c>
    </row>
  </sheetData>
  <mergeCells count="4">
    <mergeCell ref="A14:K14"/>
    <mergeCell ref="A1:K1"/>
    <mergeCell ref="A34:K34"/>
    <mergeCell ref="A24:K2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68" t="inlineStr">
        <is>
          <t>SCENARIO ANALYSIS</t>
        </is>
      </c>
      <c r="B1" s="108" t="n"/>
      <c r="C1" s="108" t="n"/>
      <c r="D1" s="108" t="n"/>
      <c r="E1" s="108" t="n"/>
      <c r="F1" s="108" t="n"/>
      <c r="G1" s="109" t="n"/>
    </row>
    <row r="3">
      <c r="A3" s="91" t="inlineStr">
        <is>
          <t>Metric</t>
        </is>
      </c>
      <c r="B3" s="91" t="inlineStr">
        <is>
          <t>S1: Lock-Up Sale</t>
        </is>
      </c>
      <c r="C3" s="91" t="inlineStr">
        <is>
          <t>S2: Ph3+ Hold</t>
        </is>
      </c>
      <c r="D3" s="91" t="inlineStr">
        <is>
          <t>S3: Ph3- Hold</t>
        </is>
      </c>
      <c r="E3" s="91" t="inlineStr">
        <is>
          <t>S4: Dual Lot Lock-Up</t>
        </is>
      </c>
      <c r="F3" s="91" t="inlineStr">
        <is>
          <t>S5: §1045→Eve Ph2+</t>
        </is>
      </c>
      <c r="G3" s="91" t="inlineStr">
        <is>
          <t>S6: §1045→Eve Ph2-</t>
        </is>
      </c>
    </row>
    <row r="4">
      <c r="A4" s="92" t="inlineStr">
        <is>
          <t>Sale Date</t>
        </is>
      </c>
      <c r="B4" s="93">
        <f>lockup_date</f>
        <v/>
      </c>
      <c r="C4" s="93">
        <f>ph3_date</f>
        <v/>
      </c>
      <c r="D4" s="93">
        <f>ph3_date</f>
        <v/>
      </c>
      <c r="E4" s="93">
        <f>lockup_date</f>
        <v/>
      </c>
      <c r="F4" s="93">
        <f>evecxia_ph2_date</f>
        <v/>
      </c>
      <c r="G4" s="93">
        <f>evecxia_ph2_date</f>
        <v/>
      </c>
    </row>
    <row r="5">
      <c r="A5" s="92" t="inlineStr">
        <is>
          <t>Sale Price/Share</t>
        </is>
      </c>
      <c r="B5" s="94">
        <f>lockup_price</f>
        <v/>
      </c>
      <c r="C5" s="94">
        <f>Inputs!$B$53</f>
        <v/>
      </c>
      <c r="D5" s="94">
        <f>Inputs!$B$56</f>
        <v/>
      </c>
      <c r="E5" s="94">
        <f>lockup_price</f>
        <v/>
      </c>
      <c r="F5" s="94" t="inlineStr">
        <is>
          <t>N/A (Evecxia)</t>
        </is>
      </c>
      <c r="G5" s="94" t="inlineStr">
        <is>
          <t>N/A (Evecxia)</t>
        </is>
      </c>
    </row>
    <row r="6">
      <c r="A6" s="92" t="inlineStr">
        <is>
          <t>Shares Sold</t>
        </is>
      </c>
      <c r="B6" s="95">
        <f>serb_shares</f>
        <v/>
      </c>
      <c r="C6" s="95">
        <f>serb_shares</f>
        <v/>
      </c>
      <c r="D6" s="95">
        <f>serb_shares</f>
        <v/>
      </c>
      <c r="E6" s="95">
        <f>serb_shares+B25</f>
        <v/>
      </c>
      <c r="F6" s="95" t="inlineStr">
        <is>
          <t>Evecxia</t>
        </is>
      </c>
      <c r="G6" s="95" t="inlineStr">
        <is>
          <t>Evecxia</t>
        </is>
      </c>
    </row>
    <row r="7">
      <c r="A7" s="92" t="inlineStr">
        <is>
          <t>Gross Proceeds</t>
        </is>
      </c>
      <c r="B7" s="96">
        <f>serb_shares*lockup_price</f>
        <v/>
      </c>
      <c r="C7" s="96">
        <f>serb_shares*Inputs!$B$53</f>
        <v/>
      </c>
      <c r="D7" s="96">
        <f>serb_shares*Inputs!$B$56</f>
        <v/>
      </c>
      <c r="E7" s="96">
        <f>B9+C9</f>
        <v/>
      </c>
      <c r="F7" s="96">
        <f>Inputs!$B$65*0.0026*Inputs!$B$59</f>
        <v/>
      </c>
      <c r="G7" s="96">
        <f>Inputs!$B$65*0.0026*Inputs!$B$62</f>
        <v/>
      </c>
    </row>
    <row r="8">
      <c r="A8" s="92" t="inlineStr">
        <is>
          <t>Cost Basis</t>
        </is>
      </c>
      <c r="B8" s="96">
        <f>serb_basis</f>
        <v/>
      </c>
      <c r="C8" s="96">
        <f>serb_basis</f>
        <v/>
      </c>
      <c r="D8" s="96">
        <f>serb_basis</f>
        <v/>
      </c>
      <c r="E8" s="96">
        <f>serb_basis+C25</f>
        <v/>
      </c>
      <c r="F8" s="96">
        <f>serb_basis</f>
        <v/>
      </c>
      <c r="G8" s="96">
        <f>serb_basis</f>
        <v/>
      </c>
    </row>
    <row r="9">
      <c r="A9" s="92" t="inlineStr">
        <is>
          <t>Gross Gain/(Loss)</t>
        </is>
      </c>
      <c r="B9" s="96">
        <f>B9-B10</f>
        <v/>
      </c>
      <c r="C9" s="96">
        <f>C9-C10</f>
        <v/>
      </c>
      <c r="D9" s="96">
        <f>D9-D10</f>
        <v/>
      </c>
      <c r="E9" s="96">
        <f>E9-E10</f>
        <v/>
      </c>
      <c r="F9" s="96">
        <f>F9-F10</f>
        <v/>
      </c>
      <c r="G9" s="96">
        <f>G9-G10</f>
        <v/>
      </c>
    </row>
    <row r="10">
      <c r="A10" s="37" t="inlineStr"/>
      <c r="B10" s="28" t="inlineStr"/>
      <c r="C10" s="28" t="inlineStr"/>
      <c r="D10" s="28" t="inlineStr"/>
      <c r="E10" s="28" t="inlineStr"/>
      <c r="F10" s="28" t="inlineStr"/>
      <c r="G10" s="28" t="inlineStr"/>
    </row>
    <row r="11">
      <c r="A11" s="92" t="inlineStr">
        <is>
          <t>Holding Period (days)</t>
        </is>
      </c>
      <c r="B11" s="95">
        <f>lockup_date-serb_date</f>
        <v/>
      </c>
      <c r="C11" s="95">
        <f>ph3_date-serb_date</f>
        <v/>
      </c>
      <c r="D11" s="95">
        <f>ph3_date-serb_date</f>
        <v/>
      </c>
      <c r="E11" s="95" t="inlineStr">
        <is>
          <t>Varies</t>
        </is>
      </c>
      <c r="F11" s="95">
        <f>evecxia_ph2_date-serb_date</f>
        <v/>
      </c>
      <c r="G11" s="95">
        <f>evecxia_ph2_date-serb_date</f>
        <v/>
      </c>
    </row>
    <row r="12">
      <c r="A12" s="92" t="inlineStr">
        <is>
          <t>Holding Period (years)</t>
        </is>
      </c>
      <c r="B12" s="97">
        <f>B13/365.25</f>
        <v/>
      </c>
      <c r="C12" s="97">
        <f>C13/365.25</f>
        <v/>
      </c>
      <c r="D12" s="97">
        <f>D13/365.25</f>
        <v/>
      </c>
      <c r="E12" s="97" t="inlineStr">
        <is>
          <t>Varies</t>
        </is>
      </c>
      <c r="F12" s="97">
        <f>F13/365.25</f>
        <v/>
      </c>
      <c r="G12" s="97">
        <f>G13/365.25</f>
        <v/>
      </c>
    </row>
    <row r="13">
      <c r="A13" s="92" t="inlineStr">
        <is>
          <t>Long-Term?</t>
        </is>
      </c>
      <c r="B13" s="98">
        <f>IF(B13&gt;365,"YES","NO")</f>
        <v/>
      </c>
      <c r="C13" s="98">
        <f>IF(C13&gt;365,"YES","NO")</f>
        <v/>
      </c>
      <c r="D13" s="98">
        <f>IF(D13&gt;365,"YES","NO")</f>
        <v/>
      </c>
      <c r="E13" s="98" t="inlineStr">
        <is>
          <t>YES</t>
        </is>
      </c>
      <c r="F13" s="98" t="inlineStr">
        <is>
          <t>YES</t>
        </is>
      </c>
      <c r="G13" s="98" t="inlineStr">
        <is>
          <t>YES</t>
        </is>
      </c>
    </row>
    <row r="14">
      <c r="A14" s="92" t="inlineStr">
        <is>
          <t>QSBS 5-Year Met?</t>
        </is>
      </c>
      <c r="B14" s="98">
        <f>IF(B13&gt;=1826,"YES","NO")</f>
        <v/>
      </c>
      <c r="C14" s="98">
        <f>IF(C13&gt;=1826,"YES","NO")</f>
        <v/>
      </c>
      <c r="D14" s="98">
        <f>IF(D13&gt;=1826,"YES","NO")</f>
        <v/>
      </c>
      <c r="E14" s="98" t="inlineStr">
        <is>
          <t>See detail</t>
        </is>
      </c>
      <c r="F14" s="98">
        <f>IF(F13&gt;=1826,"YES","NO")</f>
        <v/>
      </c>
      <c r="G14" s="98">
        <f>IF(G13&gt;=1826,"YES","NO")</f>
        <v/>
      </c>
    </row>
    <row r="15">
      <c r="A15" s="37" t="inlineStr"/>
      <c r="B15" s="28" t="inlineStr"/>
      <c r="C15" s="28" t="inlineStr"/>
      <c r="D15" s="28" t="inlineStr"/>
      <c r="E15" s="28" t="inlineStr"/>
      <c r="F15" s="28" t="inlineStr"/>
      <c r="G15" s="28" t="inlineStr"/>
    </row>
    <row r="16">
      <c r="A16" s="92" t="inlineStr">
        <is>
          <t>§1202 Exclusion Amount</t>
        </is>
      </c>
      <c r="B16" s="96">
        <f>IF(B16="YES",MIN(B11,10000000),0)</f>
        <v/>
      </c>
      <c r="C16" s="96">
        <f>IF(C16="YES",MIN(C11,10000000),0)</f>
        <v/>
      </c>
      <c r="D16" s="96">
        <f>IF(D16="YES",MAX(0,MIN(D11,10000000)),0)</f>
        <v/>
      </c>
      <c r="E16" s="96" t="inlineStr">
        <is>
          <t>See detail</t>
        </is>
      </c>
      <c r="F16" s="96">
        <f>IF(F16="YES",MIN(F11,10000000),0)</f>
        <v/>
      </c>
      <c r="G16" s="96">
        <f>IF(G16="YES",MIN(MAX(0,G11),10000000),0)</f>
        <v/>
      </c>
    </row>
    <row r="17">
      <c r="A17" s="92" t="inlineStr">
        <is>
          <t>§1045 Deferred Gain</t>
        </is>
      </c>
      <c r="B17" s="96" t="inlineStr">
        <is>
          <t>0</t>
        </is>
      </c>
      <c r="C17" s="96" t="inlineStr">
        <is>
          <t>0</t>
        </is>
      </c>
      <c r="D17" s="96" t="inlineStr">
        <is>
          <t>0</t>
        </is>
      </c>
      <c r="E17" s="96" t="inlineStr">
        <is>
          <t>0</t>
        </is>
      </c>
      <c r="F17" s="96">
        <f>B11</f>
        <v/>
      </c>
      <c r="G17" s="96">
        <f>B11</f>
        <v/>
      </c>
    </row>
    <row r="18">
      <c r="A18" s="92" t="inlineStr">
        <is>
          <t>Taxable Gain</t>
        </is>
      </c>
      <c r="B18" s="96">
        <f>MAX(0,B11-B18-B19)</f>
        <v/>
      </c>
      <c r="C18" s="96">
        <f>MAX(0,C11-C18-C19)</f>
        <v/>
      </c>
      <c r="D18" s="96">
        <f>MAX(0,D11-D18-D19)</f>
        <v/>
      </c>
      <c r="E18" s="96" t="inlineStr">
        <is>
          <t>See detail</t>
        </is>
      </c>
      <c r="F18" s="96">
        <f>MAX(0,F11-F18-F19)</f>
        <v/>
      </c>
      <c r="G18" s="96">
        <f>MAX(0,G11-G18-G19)</f>
        <v/>
      </c>
    </row>
    <row r="19">
      <c r="A19" s="37" t="inlineStr"/>
      <c r="B19" s="28" t="inlineStr"/>
      <c r="C19" s="28" t="inlineStr"/>
      <c r="D19" s="28" t="inlineStr"/>
      <c r="E19" s="28" t="inlineStr"/>
      <c r="F19" s="28" t="inlineStr"/>
      <c r="G19" s="28" t="inlineStr"/>
    </row>
    <row r="20">
      <c r="A20" s="92" t="inlineStr">
        <is>
          <t>Federal LTCG Tax</t>
        </is>
      </c>
      <c r="B20" s="96">
        <f>B20*eff_fed_rate</f>
        <v/>
      </c>
      <c r="C20" s="96">
        <f>C20*eff_fed_rate</f>
        <v/>
      </c>
      <c r="D20" s="96">
        <f>D20*eff_fed_rate</f>
        <v/>
      </c>
      <c r="E20" s="96" t="inlineStr">
        <is>
          <t>See detail</t>
        </is>
      </c>
      <c r="F20" s="96">
        <f>F20*eff_fed_rate</f>
        <v/>
      </c>
      <c r="G20" s="96">
        <f>G20*eff_fed_rate</f>
        <v/>
      </c>
    </row>
    <row r="21">
      <c r="A21" s="92" t="inlineStr">
        <is>
          <t>State Tax</t>
        </is>
      </c>
      <c r="B21" s="96">
        <f>B20*state_rate</f>
        <v/>
      </c>
      <c r="C21" s="96">
        <f>C20*state_rate</f>
        <v/>
      </c>
      <c r="D21" s="96">
        <f>D20*state_rate</f>
        <v/>
      </c>
      <c r="E21" s="96" t="inlineStr">
        <is>
          <t>See detail</t>
        </is>
      </c>
      <c r="F21" s="96">
        <f>F20*state_rate</f>
        <v/>
      </c>
      <c r="G21" s="96">
        <f>G20*state_rate</f>
        <v/>
      </c>
    </row>
    <row r="22">
      <c r="A22" s="92" t="inlineStr">
        <is>
          <t>Total Tax</t>
        </is>
      </c>
      <c r="B22" s="96">
        <f>B22+B23</f>
        <v/>
      </c>
      <c r="C22" s="96">
        <f>C22+C23</f>
        <v/>
      </c>
      <c r="D22" s="96">
        <f>D22+D23</f>
        <v/>
      </c>
      <c r="E22" s="96" t="inlineStr">
        <is>
          <t>See detail</t>
        </is>
      </c>
      <c r="F22" s="96">
        <f>F22+F23</f>
        <v/>
      </c>
      <c r="G22" s="96">
        <f>G22+G23</f>
        <v/>
      </c>
    </row>
    <row r="23">
      <c r="A23" s="37" t="inlineStr"/>
      <c r="B23" s="28" t="inlineStr"/>
      <c r="C23" s="28" t="inlineStr"/>
      <c r="D23" s="28" t="inlineStr"/>
      <c r="E23" s="28" t="inlineStr"/>
      <c r="F23" s="28" t="inlineStr"/>
      <c r="G23" s="28" t="inlineStr"/>
    </row>
    <row r="24">
      <c r="A24" s="92" t="inlineStr">
        <is>
          <t>Net After-Tax Proceeds</t>
        </is>
      </c>
      <c r="B24" s="96">
        <f>B9-B24</f>
        <v/>
      </c>
      <c r="C24" s="96">
        <f>C9-C24</f>
        <v/>
      </c>
      <c r="D24" s="96">
        <f>D9-D24</f>
        <v/>
      </c>
      <c r="E24" s="96" t="inlineStr">
        <is>
          <t>See detail</t>
        </is>
      </c>
      <c r="F24" s="96">
        <f>F9-F24</f>
        <v/>
      </c>
      <c r="G24" s="96">
        <f>G9-G24</f>
        <v/>
      </c>
    </row>
    <row r="25">
      <c r="A25" s="92" t="inlineStr">
        <is>
          <t>MOIC (Multiple on Investment)</t>
        </is>
      </c>
      <c r="B25" s="99">
        <f>B26/serb_basis</f>
        <v/>
      </c>
      <c r="C25" s="99">
        <f>C26/serb_basis</f>
        <v/>
      </c>
      <c r="D25" s="99">
        <f>D26/serb_basis</f>
        <v/>
      </c>
      <c r="E25" s="99" t="inlineStr">
        <is>
          <t>Varies</t>
        </is>
      </c>
      <c r="F25" s="99">
        <f>F26/serb_basis</f>
        <v/>
      </c>
      <c r="G25" s="99">
        <f>G26/serb_basis</f>
        <v/>
      </c>
    </row>
    <row r="26">
      <c r="A26" s="92" t="inlineStr">
        <is>
          <t>Effective Tax Rate</t>
        </is>
      </c>
      <c r="B26" s="100">
        <f>IF(B11&gt;0,B24/B11,0)</f>
        <v/>
      </c>
      <c r="C26" s="100">
        <f>IF(C11&gt;0,C24/C11,0)</f>
        <v/>
      </c>
      <c r="D26" s="100">
        <f>IF(D11&gt;0,D24/D11,0)</f>
        <v/>
      </c>
      <c r="E26" s="100" t="inlineStr">
        <is>
          <t>Varies</t>
        </is>
      </c>
      <c r="F26" s="100">
        <f>IF(F11&gt;0,F24/F11,0)</f>
        <v/>
      </c>
      <c r="G26" s="100">
        <f>IF(G11&gt;0,G24/G11,0)</f>
        <v/>
      </c>
    </row>
    <row r="29">
      <c r="A29" s="84" t="inlineStr">
        <is>
          <t>SCENARIO S4 DETAIL: Series B + Series C Lot-by-Lot at Lock-Up</t>
        </is>
      </c>
      <c r="B29" s="108" t="n"/>
      <c r="C29" s="108" t="n"/>
      <c r="D29" s="108" t="n"/>
      <c r="E29" s="108" t="n"/>
      <c r="F29" s="108" t="n"/>
      <c r="G29" s="109" t="n"/>
    </row>
    <row r="30">
      <c r="A30" s="101" t="inlineStr">
        <is>
          <t>Metric</t>
        </is>
      </c>
      <c r="B30" s="101" t="inlineStr">
        <is>
          <t>Series B Lot</t>
        </is>
      </c>
      <c r="C30" s="101" t="inlineStr">
        <is>
          <t>Series C Lot</t>
        </is>
      </c>
      <c r="D30" s="101" t="inlineStr">
        <is>
          <t>Total</t>
        </is>
      </c>
    </row>
    <row r="31">
      <c r="A31" s="92" t="inlineStr">
        <is>
          <t>Sale Date</t>
        </is>
      </c>
      <c r="B31" s="98">
        <f>lockup_date</f>
        <v/>
      </c>
      <c r="C31" s="98">
        <f>lockup_date</f>
        <v/>
      </c>
      <c r="D31" s="98" t="inlineStr">
        <is>
          <t>Same</t>
        </is>
      </c>
    </row>
    <row r="32">
      <c r="A32" s="92" t="inlineStr">
        <is>
          <t>Sale Price/Share</t>
        </is>
      </c>
      <c r="B32" s="94">
        <f>lockup_price</f>
        <v/>
      </c>
      <c r="C32" s="94">
        <f>lockup_price</f>
        <v/>
      </c>
      <c r="D32" s="94" t="inlineStr">
        <is>
          <t>Same</t>
        </is>
      </c>
    </row>
    <row r="33">
      <c r="A33" s="92" t="inlineStr">
        <is>
          <t>Shares Sold</t>
        </is>
      </c>
      <c r="B33" s="95">
        <f>serb_shares</f>
        <v/>
      </c>
      <c r="C33" s="95">
        <f>IF(Inputs!$B$23="","",Inputs!$B$25)</f>
        <v/>
      </c>
      <c r="D33" s="95">
        <f>B33+C33</f>
        <v/>
      </c>
    </row>
    <row r="34">
      <c r="A34" s="92" t="inlineStr">
        <is>
          <t>Gross Proceeds</t>
        </is>
      </c>
      <c r="B34" s="96">
        <f>B{r1}*lockup_price</f>
        <v/>
      </c>
      <c r="C34" s="96">
        <f>C{r1}*lockup_price</f>
        <v/>
      </c>
      <c r="D34" s="96">
        <f>B34+C34</f>
        <v/>
      </c>
    </row>
    <row r="35">
      <c r="A35" s="92" t="inlineStr">
        <is>
          <t>Cost Basis</t>
        </is>
      </c>
      <c r="B35" s="96">
        <f>serb_basis</f>
        <v/>
      </c>
      <c r="C35" s="96">
        <f>IF(Inputs!$B$23="","",Inputs!$B$23)</f>
        <v/>
      </c>
      <c r="D35" s="96">
        <f>B35+C35</f>
        <v/>
      </c>
    </row>
    <row r="36">
      <c r="A36" s="92" t="inlineStr">
        <is>
          <t>Gross Gain</t>
        </is>
      </c>
      <c r="B36" s="96">
        <f>B{r1}-B{r2}</f>
        <v/>
      </c>
      <c r="C36" s="96">
        <f>C{r1}-C{r2}</f>
        <v/>
      </c>
      <c r="D36" s="96">
        <f>B36+C36</f>
        <v/>
      </c>
    </row>
    <row r="37">
      <c r="A37" s="92" t="inlineStr">
        <is>
          <t>Holding Period (days)</t>
        </is>
      </c>
      <c r="B37" s="95">
        <f>lockup_date-serb_date</f>
        <v/>
      </c>
      <c r="C37" s="95">
        <f>IF(Inputs!$B$22="","",lockup_date-Inputs!$B$22)</f>
        <v/>
      </c>
      <c r="D37" s="95" t="inlineStr">
        <is>
          <t>Varies</t>
        </is>
      </c>
    </row>
    <row r="38">
      <c r="A38" s="92" t="inlineStr">
        <is>
          <t>QSBS Eligible?</t>
        </is>
      </c>
      <c r="B38" s="98" t="inlineStr">
        <is>
          <t>YES</t>
        </is>
      </c>
      <c r="C38" s="98" t="inlineStr">
        <is>
          <t>NO</t>
        </is>
      </c>
      <c r="D38" s="98" t="inlineStr">
        <is>
          <t>Mixed</t>
        </is>
      </c>
    </row>
    <row r="39">
      <c r="A39" s="92" t="inlineStr">
        <is>
          <t>QSBS 5-Year Met?</t>
        </is>
      </c>
      <c r="B39" s="98">
        <f>IF(B{r1}&gt;=1826,"YES","NO")</f>
        <v/>
      </c>
      <c r="C39" s="98" t="inlineStr">
        <is>
          <t>N/A</t>
        </is>
      </c>
      <c r="D39" s="98" t="inlineStr">
        <is>
          <t>Mixed</t>
        </is>
      </c>
    </row>
    <row r="40">
      <c r="A40" s="92" t="inlineStr">
        <is>
          <t>§1202 Exclusion</t>
        </is>
      </c>
      <c r="B40" s="96">
        <f>IF(B{r1}="YES",MIN(B{r3},10000000),0)</f>
        <v/>
      </c>
      <c r="C40" s="96" t="inlineStr">
        <is>
          <t>0</t>
        </is>
      </c>
      <c r="D40" s="96">
        <f>B40+C40</f>
        <v/>
      </c>
    </row>
    <row r="41">
      <c r="A41" s="92" t="inlineStr">
        <is>
          <t>Taxable Gain</t>
        </is>
      </c>
      <c r="B41" s="96">
        <f>MAX(0,B{r4}-B{r1})</f>
        <v/>
      </c>
      <c r="C41" s="96">
        <f>MAX(0,C{r4})</f>
        <v/>
      </c>
      <c r="D41" s="96">
        <f>B41+C41</f>
        <v/>
      </c>
    </row>
    <row r="42">
      <c r="A42" s="92" t="inlineStr">
        <is>
          <t>Tax Due</t>
        </is>
      </c>
      <c r="B42" s="96">
        <f>B{r1}*combined_rate</f>
        <v/>
      </c>
      <c r="C42" s="96">
        <f>C{r1}*combined_rate</f>
        <v/>
      </c>
      <c r="D42" s="96">
        <f>B42+C42</f>
        <v/>
      </c>
    </row>
    <row r="43">
      <c r="A43" s="92" t="inlineStr">
        <is>
          <t>Net After-Tax</t>
        </is>
      </c>
      <c r="B43" s="96">
        <f>B{r8}-B{r1}</f>
        <v/>
      </c>
      <c r="C43" s="96">
        <f>C{r8}-C{r1}</f>
        <v/>
      </c>
      <c r="D43" s="96">
        <f>B43+C43</f>
        <v/>
      </c>
    </row>
    <row r="46">
      <c r="A46" s="84" t="inlineStr">
        <is>
          <t>SCENARIOS S5/S6 DETAIL: §1045 Rollover → Evecxia (Two-Leg Journey)</t>
        </is>
      </c>
      <c r="B46" s="108" t="n"/>
      <c r="C46" s="108" t="n"/>
      <c r="D46" s="108" t="n"/>
      <c r="E46" s="108" t="n"/>
      <c r="F46" s="108" t="n"/>
      <c r="G46" s="109" t="n"/>
    </row>
    <row r="47">
      <c r="A47" s="101" t="inlineStr">
        <is>
          <t>Leg / Metric</t>
        </is>
      </c>
      <c r="B47" s="101" t="inlineStr">
        <is>
          <t>S5: Positive Ph2</t>
        </is>
      </c>
      <c r="C47" s="101" t="inlineStr">
        <is>
          <t>S6: Negative Ph2</t>
        </is>
      </c>
    </row>
    <row r="48">
      <c r="A48" s="101" t="inlineStr">
        <is>
          <t xml:space="preserve">  LEG 1: LBRX SALE AT LOCK-UP</t>
        </is>
      </c>
    </row>
    <row r="49">
      <c r="A49" s="92" t="inlineStr">
        <is>
          <t xml:space="preserve">    LBRX Sale Date</t>
        </is>
      </c>
      <c r="B49" s="93">
        <f>lockup_date</f>
        <v/>
      </c>
      <c r="C49" s="93">
        <f>lockup_date</f>
        <v/>
      </c>
    </row>
    <row r="50">
      <c r="A50" s="92" t="inlineStr">
        <is>
          <t xml:space="preserve">    LBRX Sale Price</t>
        </is>
      </c>
      <c r="B50" s="94">
        <f>lockup_price</f>
        <v/>
      </c>
      <c r="C50" s="94">
        <f>lockup_price</f>
        <v/>
      </c>
    </row>
    <row r="51">
      <c r="A51" s="37" t="inlineStr">
        <is>
          <t xml:space="preserve">    LBRX Gross Proceeds</t>
        </is>
      </c>
      <c r="B51" s="26">
        <f>serb_shares*lockup_price</f>
        <v/>
      </c>
      <c r="C51" s="26">
        <f>serb_shares*lockup_price</f>
        <v/>
      </c>
    </row>
    <row r="52">
      <c r="A52" s="37" t="inlineStr">
        <is>
          <t xml:space="preserve">    LBRX Cost Basis</t>
        </is>
      </c>
      <c r="B52" s="26">
        <f>serb_basis</f>
        <v/>
      </c>
      <c r="C52" s="26">
        <f>serb_basis</f>
        <v/>
      </c>
    </row>
    <row r="53">
      <c r="A53" s="37" t="inlineStr">
        <is>
          <t xml:space="preserve">    LBRX Realized Gain</t>
        </is>
      </c>
      <c r="B53" s="26">
        <f>B52-B51</f>
        <v/>
      </c>
      <c r="C53" s="26">
        <f>C52-C51</f>
        <v/>
      </c>
    </row>
    <row r="54">
      <c r="A54" s="37" t="inlineStr">
        <is>
          <t xml:space="preserve">    §1045 Deferred Gain</t>
        </is>
      </c>
      <c r="B54" s="26">
        <f>B53</f>
        <v/>
      </c>
      <c r="C54" s="26">
        <f>C53</f>
        <v/>
      </c>
    </row>
    <row r="55">
      <c r="A55" s="37" t="inlineStr">
        <is>
          <t xml:space="preserve">    Tax at LBRX Sale</t>
        </is>
      </c>
      <c r="B55" s="26" t="inlineStr">
        <is>
          <t>0</t>
        </is>
      </c>
      <c r="C55" s="26" t="inlineStr">
        <is>
          <t>0</t>
        </is>
      </c>
    </row>
    <row r="57">
      <c r="A57" s="53" t="inlineStr">
        <is>
          <t xml:space="preserve">  LEG 2: EVECXIA PURCHASE &amp; SALE</t>
        </is>
      </c>
    </row>
    <row r="58">
      <c r="A58" s="37" t="inlineStr">
        <is>
          <t xml:space="preserve">    Evecxia Purchase Date</t>
        </is>
      </c>
      <c r="B58" s="31">
        <f>evecxia_purchase</f>
        <v/>
      </c>
      <c r="C58" s="31">
        <f>evecxia_purchase</f>
        <v/>
      </c>
    </row>
    <row r="59">
      <c r="A59" s="37" t="inlineStr">
        <is>
          <t xml:space="preserve">    Amount Reinvested</t>
        </is>
      </c>
      <c r="B59" s="26">
        <f>serb_basis</f>
        <v/>
      </c>
      <c r="C59" s="26">
        <f>serb_basis</f>
        <v/>
      </c>
    </row>
    <row r="60">
      <c r="A60" s="37" t="inlineStr">
        <is>
          <t xml:space="preserve">    Evecxia Share Price at Purchase</t>
        </is>
      </c>
      <c r="B60" s="54">
        <f>Inputs!$B$30</f>
        <v/>
      </c>
      <c r="C60" s="54">
        <f>Inputs!$B$30</f>
        <v/>
      </c>
    </row>
    <row r="61">
      <c r="A61" s="37" t="inlineStr">
        <is>
          <t xml:space="preserve">    Evecxia Shares Acquired</t>
        </is>
      </c>
      <c r="B61" s="27">
        <f>B60/B59</f>
        <v/>
      </c>
      <c r="C61" s="27">
        <f>C60/C59</f>
        <v/>
      </c>
    </row>
    <row r="62">
      <c r="A62" s="37" t="inlineStr">
        <is>
          <t xml:space="preserve">    Evecxia Adjusted Basis (§1045)</t>
        </is>
      </c>
      <c r="B62" s="26">
        <f>B60-B48</f>
        <v/>
      </c>
      <c r="C62" s="26">
        <f>C60-C48</f>
        <v/>
      </c>
    </row>
    <row r="63">
      <c r="A63" s="37" t="inlineStr">
        <is>
          <t>    </t>
        </is>
      </c>
      <c r="B63" s="28" t="inlineStr"/>
      <c r="C63" s="28" t="inlineStr"/>
    </row>
    <row r="64">
      <c r="A64" s="37" t="inlineStr">
        <is>
          <t xml:space="preserve">    Evecxia Sale Date</t>
        </is>
      </c>
      <c r="B64" s="31">
        <f>evecxia_ph2_date</f>
        <v/>
      </c>
      <c r="C64" s="31">
        <f>evecxia_ph2_date</f>
        <v/>
      </c>
    </row>
    <row r="65">
      <c r="A65" s="37" t="inlineStr">
        <is>
          <t xml:space="preserve">    Evecxia Valuation at Sale</t>
        </is>
      </c>
      <c r="B65" s="26">
        <f>Inputs!$B$59</f>
        <v/>
      </c>
      <c r="C65" s="26">
        <f>Inputs!$B$62</f>
        <v/>
      </c>
    </row>
    <row r="66">
      <c r="A66" s="37" t="inlineStr">
        <is>
          <t xml:space="preserve">    Evecxia Share Price at Sale</t>
        </is>
      </c>
      <c r="B66" s="52">
        <f>B65/Inputs!$B$65</f>
        <v/>
      </c>
      <c r="C66" s="52">
        <f>C65/Inputs!$B$65</f>
        <v/>
      </c>
    </row>
    <row r="67">
      <c r="A67" s="37" t="inlineStr">
        <is>
          <t xml:space="preserve">    Evecxia Gross Proceeds</t>
        </is>
      </c>
      <c r="B67" s="26">
        <f>B61*B66</f>
        <v/>
      </c>
      <c r="C67" s="26">
        <f>C61*C66</f>
        <v/>
      </c>
    </row>
    <row r="68">
      <c r="A68" s="37" t="inlineStr">
        <is>
          <t xml:space="preserve">    Evecxia Gain</t>
        </is>
      </c>
      <c r="B68" s="26">
        <f>B67-B61</f>
        <v/>
      </c>
      <c r="C68" s="26">
        <f>C67-C61</f>
        <v/>
      </c>
    </row>
    <row r="69">
      <c r="A69" s="37" t="inlineStr">
        <is>
          <t xml:space="preserve">    Tacked Holding (days)</t>
        </is>
      </c>
      <c r="B69" s="27">
        <f>evecxia_ph2_date-serb_date</f>
        <v/>
      </c>
      <c r="C69" s="27">
        <f>evecxia_ph2_date-serb_date</f>
        <v/>
      </c>
    </row>
    <row r="70">
      <c r="A70" s="37" t="inlineStr">
        <is>
          <t xml:space="preserve">    QSBS 5-Year Met?</t>
        </is>
      </c>
      <c r="B70" s="28">
        <f>IF(B69&gt;=1826,"YES","NO")</f>
        <v/>
      </c>
      <c r="C70" s="28">
        <f>IF(C69&gt;=1826,"YES","NO")</f>
        <v/>
      </c>
    </row>
    <row r="71">
      <c r="A71" s="37" t="inlineStr">
        <is>
          <t xml:space="preserve">    §1202 Exclusion</t>
        </is>
      </c>
      <c r="B71" s="26">
        <f>IF(B70="YES",MIN(B68,10000000),0)</f>
        <v/>
      </c>
      <c r="C71" s="26">
        <f>IF(C70="YES",MIN(MAX(0,C68),10000000),0)</f>
        <v/>
      </c>
    </row>
    <row r="72">
      <c r="A72" s="37" t="inlineStr">
        <is>
          <t xml:space="preserve">    Taxable Gain on Evecxia</t>
        </is>
      </c>
      <c r="B72" s="26">
        <f>MAX(0,B67-B71)</f>
        <v/>
      </c>
      <c r="C72" s="26">
        <f>MAX(0,C67-C71)</f>
        <v/>
      </c>
    </row>
    <row r="73">
      <c r="A73" s="37" t="inlineStr">
        <is>
          <t xml:space="preserve">    Tax on Evecxia Sale</t>
        </is>
      </c>
      <c r="B73" s="26">
        <f>B72*combined_rate</f>
        <v/>
      </c>
      <c r="C73" s="26">
        <f>C72*combined_rate</f>
        <v/>
      </c>
    </row>
    <row r="75">
      <c r="A75" s="41" t="inlineStr">
        <is>
          <t xml:space="preserve">  COMBINED JOURNEY TOTAL</t>
        </is>
      </c>
    </row>
    <row r="76">
      <c r="A76" s="37" t="inlineStr">
        <is>
          <t xml:space="preserve">    Original Investment</t>
        </is>
      </c>
      <c r="B76" s="26">
        <f>serb_basis</f>
        <v/>
      </c>
      <c r="C76" s="26">
        <f>serb_basis</f>
        <v/>
      </c>
    </row>
    <row r="77">
      <c r="A77" s="37" t="inlineStr">
        <is>
          <t xml:space="preserve">    Final Proceeds</t>
        </is>
      </c>
      <c r="B77" s="26">
        <f>B62</f>
        <v/>
      </c>
      <c r="C77" s="26">
        <f>C62</f>
        <v/>
      </c>
    </row>
    <row r="78">
      <c r="A78" s="37" t="inlineStr">
        <is>
          <t xml:space="preserve">    Total Tax (both legs)</t>
        </is>
      </c>
      <c r="B78" s="26">
        <f>B61+B77</f>
        <v/>
      </c>
      <c r="C78" s="26">
        <f>C61+C77</f>
        <v/>
      </c>
    </row>
    <row r="79">
      <c r="A79" s="37" t="inlineStr">
        <is>
          <t xml:space="preserve">    Net After-Tax</t>
        </is>
      </c>
      <c r="B79" s="26">
        <f>B77-B78</f>
        <v/>
      </c>
      <c r="C79" s="26">
        <f>C77-C78</f>
        <v/>
      </c>
    </row>
    <row r="80">
      <c r="A80" s="37" t="inlineStr">
        <is>
          <t xml:space="preserve">    MOIC</t>
        </is>
      </c>
      <c r="B80" s="33">
        <f>B79/serb_basis</f>
        <v/>
      </c>
      <c r="C80" s="33">
        <f>C79/serb_basis</f>
        <v/>
      </c>
    </row>
    <row r="81">
      <c r="A81" s="37" t="inlineStr">
        <is>
          <t xml:space="preserve">    Effective Tax Rate</t>
        </is>
      </c>
      <c r="B81" s="29">
        <f>B78/B79</f>
        <v/>
      </c>
      <c r="C81" s="29">
        <f>C78/C79</f>
        <v/>
      </c>
    </row>
  </sheetData>
  <mergeCells count="3">
    <mergeCell ref="A1:G1"/>
    <mergeCell ref="A29:G29"/>
    <mergeCell ref="A46:G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0" customWidth="1" min="3" max="3"/>
  </cols>
  <sheetData>
    <row r="1">
      <c r="A1" s="1" t="inlineStr">
        <is>
          <t>TAX LOGIC ENGINE</t>
        </is>
      </c>
    </row>
    <row r="2">
      <c r="A2" s="23" t="inlineStr">
        <is>
          <t>All tax calculations reference Inputs tab via named ranges</t>
        </is>
      </c>
    </row>
    <row r="4">
      <c r="A4" s="24" t="inlineStr">
        <is>
          <t>SECTION 1: STANDARD CAPITAL GAINS TAX CALCULATOR</t>
        </is>
      </c>
    </row>
    <row r="5">
      <c r="A5" s="25" t="inlineStr">
        <is>
          <t>Example Inputs (for illustration):</t>
        </is>
      </c>
    </row>
    <row r="6">
      <c r="A6" s="25" t="inlineStr">
        <is>
          <t xml:space="preserve">  Proceeds</t>
        </is>
      </c>
      <c r="B6" s="26" t="n">
        <v>100000</v>
      </c>
    </row>
    <row r="7">
      <c r="A7" s="25" t="inlineStr">
        <is>
          <t xml:space="preserve">  Cost Basis</t>
        </is>
      </c>
      <c r="B7" s="26" t="n">
        <v>80000</v>
      </c>
    </row>
    <row r="8">
      <c r="A8" s="25" t="inlineStr">
        <is>
          <t xml:space="preserve">  Holding Period (days)</t>
        </is>
      </c>
      <c r="B8" s="27" t="n">
        <v>400</v>
      </c>
    </row>
    <row r="10">
      <c r="A10" s="25" t="inlineStr">
        <is>
          <t>CALCULATED:</t>
        </is>
      </c>
    </row>
    <row r="11">
      <c r="A11" s="25" t="inlineStr">
        <is>
          <t>Gain / (Loss)</t>
        </is>
      </c>
      <c r="B11" s="26">
        <f>B6-B8</f>
        <v/>
      </c>
    </row>
    <row r="12">
      <c r="A12" s="25" t="inlineStr">
        <is>
          <t>Long-Term (&gt;365 days)?</t>
        </is>
      </c>
      <c r="B12" s="28">
        <f>IF(B10&gt;365,"YES","NO")</f>
        <v/>
      </c>
    </row>
    <row r="13">
      <c r="A13" s="25" t="inlineStr">
        <is>
          <t>Tax Rate Applied</t>
        </is>
      </c>
      <c r="B13" s="29">
        <f>IF(B15="YES",combined_rate,Inputs!$B$11)</f>
        <v/>
      </c>
      <c r="C13" s="30" t="inlineStr">
        <is>
          <t>← LTCG if &gt;1yr, else ordinary</t>
        </is>
      </c>
    </row>
    <row r="14">
      <c r="A14" s="25" t="inlineStr">
        <is>
          <t>Tax Due</t>
        </is>
      </c>
      <c r="B14" s="26">
        <f>MAX(0,B13)*B16</f>
        <v/>
      </c>
    </row>
    <row r="16">
      <c r="A16" s="24" t="inlineStr">
        <is>
          <t>SECTION 2: §1202 QSBS ELIGIBILITY CHECK</t>
        </is>
      </c>
    </row>
    <row r="17">
      <c r="A17" s="25" t="inlineStr">
        <is>
          <t>Inputs (example):</t>
        </is>
      </c>
    </row>
    <row r="18">
      <c r="A18" s="25" t="inlineStr">
        <is>
          <t xml:space="preserve">  Stock QSBS Eligible?</t>
        </is>
      </c>
      <c r="B18" s="28" t="inlineStr">
        <is>
          <t>YES</t>
        </is>
      </c>
    </row>
    <row r="19">
      <c r="A19" s="25" t="inlineStr">
        <is>
          <t xml:space="preserve">  Holding Period (days)</t>
        </is>
      </c>
      <c r="B19" s="27" t="n">
        <v>2000</v>
      </c>
    </row>
    <row r="20">
      <c r="A20" s="25" t="inlineStr">
        <is>
          <t xml:space="preserve">  Gain Amount</t>
        </is>
      </c>
      <c r="B20" s="26" t="n">
        <v>500000</v>
      </c>
    </row>
    <row r="21">
      <c r="A21" s="25" t="inlineStr">
        <is>
          <t xml:space="preserve">  Original Basis</t>
        </is>
      </c>
      <c r="B21" s="26" t="n">
        <v>100000</v>
      </c>
    </row>
    <row r="23">
      <c r="A23" s="25" t="inlineStr">
        <is>
          <t>ELIGIBILITY CHECKS:</t>
        </is>
      </c>
    </row>
    <row r="24">
      <c r="A24" s="25" t="inlineStr">
        <is>
          <t>Check A: Stock is QSBS?</t>
        </is>
      </c>
      <c r="B24" s="28">
        <f>IF(B23="YES","PASS","FAIL")</f>
        <v/>
      </c>
      <c r="C24" s="30" t="inlineStr">
        <is>
          <t>← Must be QSBS</t>
        </is>
      </c>
    </row>
    <row r="25">
      <c r="A25" s="25" t="inlineStr">
        <is>
          <t>Check B: Held ≥ 5 years (1826 days)?</t>
        </is>
      </c>
      <c r="B25" s="28">
        <f>IF(B25&gt;=1826,"PASS","FAIL")</f>
        <v/>
      </c>
      <c r="C25" s="30" t="inlineStr">
        <is>
          <t>← 5 years = 1826 days</t>
        </is>
      </c>
    </row>
    <row r="26">
      <c r="A26" s="25" t="inlineStr">
        <is>
          <t>Overall Eligible?</t>
        </is>
      </c>
      <c r="B26" s="28">
        <f>IF(AND(B32="PASS",B34="PASS"),"YES - §1202 AVAILABLE","NO")</f>
        <v/>
      </c>
    </row>
    <row r="28">
      <c r="A28" s="25" t="inlineStr">
        <is>
          <t>§1202 EXCLUSION CALCULATION:</t>
        </is>
      </c>
    </row>
    <row r="29">
      <c r="A29" s="25" t="inlineStr">
        <is>
          <t>Exclusion Cap</t>
        </is>
      </c>
      <c r="B29" s="26">
        <f>MAX(10000000,10*B28)</f>
        <v/>
      </c>
      <c r="C29" s="30" t="inlineStr">
        <is>
          <t>← Greater of $10M or 10× basis</t>
        </is>
      </c>
    </row>
    <row r="30">
      <c r="A30" s="25" t="inlineStr">
        <is>
          <t>Gain to Exclude</t>
        </is>
      </c>
      <c r="B30" s="26">
        <f>IF(B36="YES - §1202 AVAILABLE",MIN(B27,B40),0)</f>
        <v/>
      </c>
    </row>
    <row r="31">
      <c r="A31" s="25" t="inlineStr">
        <is>
          <t>Remaining Taxable Gain</t>
        </is>
      </c>
      <c r="B31" s="26">
        <f>MAX(0,B27-B42)</f>
        <v/>
      </c>
    </row>
    <row r="32">
      <c r="A32" s="25" t="inlineStr">
        <is>
          <t>Tax on Remaining Gain</t>
        </is>
      </c>
      <c r="B32" s="26">
        <f>B44*combined_rate</f>
        <v/>
      </c>
    </row>
    <row r="34">
      <c r="A34" s="24" t="inlineStr">
        <is>
          <t>SECTION 3: §1045 ROLLOVER CALCULATOR (8-STEP WALKTHROUGH)</t>
        </is>
      </c>
    </row>
    <row r="35">
      <c r="A35" s="25" t="inlineStr">
        <is>
          <t>STEP 1: DETERMINE §1045 ELIGIBILITY</t>
        </is>
      </c>
    </row>
    <row r="36">
      <c r="A36" s="25" t="inlineStr">
        <is>
          <t>Inputs (example):</t>
        </is>
      </c>
    </row>
    <row r="37">
      <c r="A37" s="25" t="inlineStr">
        <is>
          <t xml:space="preserve">  Original stock QSBS?</t>
        </is>
      </c>
      <c r="B37" s="28" t="inlineStr">
        <is>
          <t>YES</t>
        </is>
      </c>
    </row>
    <row r="38">
      <c r="A38" s="25" t="inlineStr">
        <is>
          <t xml:space="preserve">  Held original &gt; 6 months (180 days)?</t>
        </is>
      </c>
      <c r="B38" s="28" t="inlineStr">
        <is>
          <t>YES</t>
        </is>
      </c>
    </row>
    <row r="39">
      <c r="A39" s="25" t="inlineStr">
        <is>
          <t xml:space="preserve">  Replacement purchased within 60 days?</t>
        </is>
      </c>
      <c r="B39" s="28" t="inlineStr">
        <is>
          <t>YES</t>
        </is>
      </c>
    </row>
    <row r="40">
      <c r="A40" s="25" t="inlineStr">
        <is>
          <t xml:space="preserve">  Replacement stock is QSBS?</t>
        </is>
      </c>
      <c r="B40" s="28" t="inlineStr">
        <is>
          <t>YES</t>
        </is>
      </c>
    </row>
    <row r="42">
      <c r="A42" s="25" t="inlineStr">
        <is>
          <t>All §1045 Requirements Met?</t>
        </is>
      </c>
      <c r="B42" s="28">
        <f>IF(AND(B53="YES",B55="YES",B57="YES",B59="YES"),"YES - §1045 ELIGIBLE","NO")</f>
        <v/>
      </c>
    </row>
    <row r="44">
      <c r="A44" s="25" t="inlineStr">
        <is>
          <t>STEP 2: CALCULATE ORIGINAL SALE PROCEEDS &amp; GAIN</t>
        </is>
      </c>
    </row>
    <row r="45">
      <c r="A45" s="25" t="inlineStr">
        <is>
          <t xml:space="preserve">  Gross proceeds from sale</t>
        </is>
      </c>
      <c r="B45" s="26" t="n">
        <v>100008</v>
      </c>
    </row>
    <row r="46">
      <c r="A46" s="25" t="inlineStr">
        <is>
          <t xml:space="preserve">  Cost basis</t>
        </is>
      </c>
      <c r="B46" s="26" t="n">
        <v>100000</v>
      </c>
    </row>
    <row r="47">
      <c r="A47" s="25" t="inlineStr">
        <is>
          <t xml:space="preserve">  Realized gain</t>
        </is>
      </c>
      <c r="B47" s="26">
        <f>B67-B69</f>
        <v/>
      </c>
    </row>
    <row r="49">
      <c r="A49" s="25" t="inlineStr">
        <is>
          <t>STEP 3: APPLY §1045 DEFERRAL</t>
        </is>
      </c>
    </row>
    <row r="50">
      <c r="A50" s="25" t="inlineStr">
        <is>
          <t xml:space="preserve">  Amount reinvested in replacement QSBS</t>
        </is>
      </c>
      <c r="B50" s="26" t="n">
        <v>100008</v>
      </c>
    </row>
    <row r="51">
      <c r="A51" s="25" t="inlineStr">
        <is>
          <t xml:space="preserve">  Deferred gain</t>
        </is>
      </c>
      <c r="B51" s="26">
        <f>IF(B63="YES - §1045 ELIGIBLE",MIN(B71,B76),0)</f>
        <v/>
      </c>
    </row>
    <row r="52">
      <c r="A52" s="25" t="inlineStr">
        <is>
          <t xml:space="preserve">  Recognized gain (taxed now)</t>
        </is>
      </c>
      <c r="B52" s="26">
        <f>MAX(0,B71-B78)</f>
        <v/>
      </c>
    </row>
    <row r="53">
      <c r="A53" s="25" t="inlineStr">
        <is>
          <t xml:space="preserve">  Tax on recognized gain</t>
        </is>
      </c>
      <c r="B53" s="26">
        <f>B80*combined_rate</f>
        <v/>
      </c>
    </row>
    <row r="55">
      <c r="A55" s="25" t="inlineStr">
        <is>
          <t>STEP 4: CALCULATE ADJUSTED BASIS IN REPLACEMENT</t>
        </is>
      </c>
    </row>
    <row r="56">
      <c r="A56" s="25" t="inlineStr">
        <is>
          <t xml:space="preserve">  Cost of replacement stock</t>
        </is>
      </c>
      <c r="B56" s="26">
        <f>B76</f>
        <v/>
      </c>
    </row>
    <row r="57">
      <c r="A57" s="25" t="inlineStr">
        <is>
          <t xml:space="preserve">  Adjusted basis (cost minus deferred gain)</t>
        </is>
      </c>
      <c r="B57" s="26">
        <f>B87-B78</f>
        <v/>
      </c>
      <c r="C57" s="30" t="inlineStr">
        <is>
          <t>← Lower basis = gain recaptured later</t>
        </is>
      </c>
    </row>
    <row r="58">
      <c r="A58" s="25" t="inlineStr">
        <is>
          <t xml:space="preserve">  Shares of replacement acquired</t>
        </is>
      </c>
      <c r="B58" s="27">
        <f>B76/Inputs!$B$30</f>
        <v/>
      </c>
    </row>
    <row r="60">
      <c r="A60" s="25" t="inlineStr">
        <is>
          <t>STEP 5: DETERMINE TACKED HOLDING PERIOD</t>
        </is>
      </c>
    </row>
    <row r="61">
      <c r="A61" s="25" t="inlineStr">
        <is>
          <t xml:space="preserve">  Tacked start date (original purchase)</t>
        </is>
      </c>
      <c r="B61" s="31">
        <f>serb_date</f>
        <v/>
      </c>
    </row>
    <row r="62">
      <c r="A62" s="25" t="inlineStr">
        <is>
          <t xml:space="preserve">  Replacement sale date (example)</t>
        </is>
      </c>
      <c r="B62" s="31">
        <f>evecxia_ph2_date</f>
        <v/>
      </c>
    </row>
    <row r="63">
      <c r="A63" s="25" t="inlineStr">
        <is>
          <t xml:space="preserve">  Tacked holding period (days)</t>
        </is>
      </c>
      <c r="B63" s="27">
        <f>B99-B97</f>
        <v/>
      </c>
    </row>
    <row r="64">
      <c r="A64" s="25" t="inlineStr">
        <is>
          <t xml:space="preserve">  Tacked holding period (years)</t>
        </is>
      </c>
      <c r="B64" s="32">
        <f>B101/365.25</f>
        <v/>
      </c>
    </row>
    <row r="65">
      <c r="A65" s="25" t="inlineStr">
        <is>
          <t xml:space="preserve">  QSBS 5-year met at replacement sale?</t>
        </is>
      </c>
      <c r="B65" s="28">
        <f>IF(B101&gt;=1826,"YES","NO")</f>
        <v/>
      </c>
    </row>
    <row r="67">
      <c r="A67" s="25" t="inlineStr">
        <is>
          <t>STEP 6: CALCULATE REPLACEMENT SALE &amp; §1202 EXCLUSION</t>
        </is>
      </c>
    </row>
    <row r="68">
      <c r="A68" s="25" t="inlineStr">
        <is>
          <t xml:space="preserve">  Replacement sale proceeds (example)</t>
        </is>
      </c>
      <c r="B68" s="26" t="n">
        <v>3845020</v>
      </c>
    </row>
    <row r="69">
      <c r="A69" s="25" t="inlineStr">
        <is>
          <t xml:space="preserve">  Gain on replacement sale</t>
        </is>
      </c>
      <c r="B69" s="26">
        <f>B109-B89</f>
        <v/>
      </c>
    </row>
    <row r="71">
      <c r="A71" s="25" t="inlineStr">
        <is>
          <t xml:space="preserve">  §1202 exclusion cap (if eligible)</t>
        </is>
      </c>
      <c r="B71" s="26">
        <f>IF(B105="YES",MAX(10000000,10*B69),0)</f>
        <v/>
      </c>
      <c r="C71" s="30" t="inlineStr">
        <is>
          <t>← Uses ORIGINAL basis</t>
        </is>
      </c>
    </row>
    <row r="72">
      <c r="A72" s="25" t="inlineStr">
        <is>
          <t xml:space="preserve">  Excluded gain</t>
        </is>
      </c>
      <c r="B72" s="26">
        <f>IF(AND(B105="YES",B59="YES"),MIN(B111,B114),0)</f>
        <v/>
      </c>
    </row>
    <row r="73">
      <c r="A73" s="25" t="inlineStr">
        <is>
          <t xml:space="preserve">  Remaining taxable gain</t>
        </is>
      </c>
      <c r="B73" s="26">
        <f>MAX(0,B111-B117)</f>
        <v/>
      </c>
    </row>
    <row r="75">
      <c r="A75" s="25" t="inlineStr">
        <is>
          <t>STEP 7: CALCULATE FINAL TAX &amp; NET PROCEEDS</t>
        </is>
      </c>
    </row>
    <row r="76">
      <c r="A76" s="25" t="inlineStr">
        <is>
          <t xml:space="preserve">  Tax on replacement sale</t>
        </is>
      </c>
      <c r="B76" s="26">
        <f>B119*combined_rate</f>
        <v/>
      </c>
    </row>
    <row r="77">
      <c r="A77" s="25" t="inlineStr">
        <is>
          <t xml:space="preserve">  Total tax (original + replacement)</t>
        </is>
      </c>
      <c r="B77" s="26">
        <f>B82+B123</f>
        <v/>
      </c>
    </row>
    <row r="78">
      <c r="A78" s="25" t="inlineStr">
        <is>
          <t xml:space="preserve">  Net after-tax proceeds (full journey)</t>
        </is>
      </c>
      <c r="B78" s="26">
        <f>B109-B125</f>
        <v/>
      </c>
    </row>
    <row r="79">
      <c r="A79" s="25" t="inlineStr">
        <is>
          <t xml:space="preserve">  MOIC (vs original $100K basis)</t>
        </is>
      </c>
      <c r="B79" s="33">
        <f>B127/B69</f>
        <v/>
      </c>
    </row>
    <row r="81">
      <c r="A81" s="24" t="inlineStr">
        <is>
          <t>SECTION 4: COMBINED §1045 → §1202 CHAIN (SUMMARY)</t>
        </is>
      </c>
    </row>
    <row r="82">
      <c r="A82" s="25" t="inlineStr">
        <is>
          <t>This section validates the full chain:</t>
        </is>
      </c>
    </row>
    <row r="83">
      <c r="A83" s="25" t="inlineStr">
        <is>
          <t>1. Original QSBS held &gt; 6 months</t>
        </is>
      </c>
    </row>
    <row r="84">
      <c r="A84" s="25" t="inlineStr">
        <is>
          <t>2. Sold and reinvested in replacement QSBS within 60 days</t>
        </is>
      </c>
    </row>
    <row r="85">
      <c r="A85" s="25" t="inlineStr">
        <is>
          <t>3. Gain deferred under §1045</t>
        </is>
      </c>
    </row>
    <row r="86">
      <c r="A86" s="25" t="inlineStr">
        <is>
          <t>4. Basis in replacement reduced by deferred gain</t>
        </is>
      </c>
    </row>
    <row r="87">
      <c r="A87" s="25" t="inlineStr">
        <is>
          <t>5. Holding period tacks from original purchase date</t>
        </is>
      </c>
    </row>
    <row r="88">
      <c r="A88" s="25" t="inlineStr">
        <is>
          <t>6. If tacked period ≥ 5 years at replacement sale → §1202 available</t>
        </is>
      </c>
    </row>
    <row r="89">
      <c r="A89" s="25" t="inlineStr">
        <is>
          <t>7. §1202 exclusion applies to gain on replacement (up to $10M or 10× ORIGINAL basis)</t>
        </is>
      </c>
    </row>
    <row r="91">
      <c r="A91" s="34" t="inlineStr">
        <is>
          <t>Key Rule: §1202 10× basis test uses ORIGINAL QSBS basis, not adjusted replacement basis</t>
        </is>
      </c>
    </row>
    <row r="93">
      <c r="A93" s="25" t="inlineStr">
        <is>
          <t>Example Chain Validation:</t>
        </is>
      </c>
    </row>
    <row r="94">
      <c r="A94" s="25" t="inlineStr">
        <is>
          <t xml:space="preserve">  Original investment: $100,000 (May 3, 2022)</t>
        </is>
      </c>
    </row>
    <row r="95">
      <c r="A95" s="25" t="inlineStr">
        <is>
          <t xml:space="preserve">  Sold at lock-up (March 12, 2026) for ~$100,008</t>
        </is>
      </c>
    </row>
    <row r="96">
      <c r="A96" s="25" t="inlineStr">
        <is>
          <t xml:space="preserve">  Gain: $8 → deferred via §1045</t>
        </is>
      </c>
    </row>
    <row r="97">
      <c r="A97" s="25" t="inlineStr">
        <is>
          <t xml:space="preserve">  Reinvested $100,008 in Evecxia (April 11, 2026)</t>
        </is>
      </c>
    </row>
    <row r="98">
      <c r="A98" s="25" t="inlineStr">
        <is>
          <t xml:space="preserve">  Evecxia adjusted basis: $100,000 ($100,008 cost - $8 deferred)</t>
        </is>
      </c>
    </row>
    <row r="99">
      <c r="A99" s="25" t="inlineStr">
        <is>
          <t xml:space="preserve">  Sold Evecxia Oct 15, 2027 for $3,845,020</t>
        </is>
      </c>
    </row>
    <row r="100">
      <c r="A100" s="25" t="inlineStr">
        <is>
          <t xml:space="preserve">  Tacked holding: May 3, 2022 → Oct 15, 2027 = 1,991 days (5.45 years) ✓</t>
        </is>
      </c>
    </row>
    <row r="101">
      <c r="A101" s="25" t="inlineStr">
        <is>
          <t xml:space="preserve">  Evecxia gain: $3,745,020</t>
        </is>
      </c>
    </row>
    <row r="102">
      <c r="A102" s="25" t="inlineStr">
        <is>
          <t xml:space="preserve">  §1202 cap: MAX($10M, 10 × $100K original) = $10M</t>
        </is>
      </c>
    </row>
    <row r="103">
      <c r="A103" s="25" t="inlineStr">
        <is>
          <t xml:space="preserve">  Excluded: $3,745,020 (fully excluded, under cap)</t>
        </is>
      </c>
    </row>
    <row r="104">
      <c r="A104" s="25" t="inlineStr">
        <is>
          <t xml:space="preserve">  Tax: $0 federal (§1202 exclusion)</t>
        </is>
      </c>
    </row>
    <row r="105">
      <c r="A105" s="25" t="inlineStr">
        <is>
          <t xml:space="preserve">  Net: $3,845,020 | MOIC: 38.5x | Effective tax rate: 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68" t="inlineStr">
        <is>
          <t>OUTPUTS DASHBOARD</t>
        </is>
      </c>
    </row>
    <row r="3">
      <c r="A3" s="84" t="inlineStr">
        <is>
          <t>KEY FLAGS</t>
        </is>
      </c>
      <c r="B3" s="108" t="n"/>
      <c r="C3" s="109" t="n"/>
    </row>
    <row r="4">
      <c r="A4" s="90" t="inlineStr">
        <is>
          <t>QSBS 5-year met at lock-up?</t>
        </is>
      </c>
      <c r="B4" s="102">
        <f>IF(lockup_date&gt;=qsbs_5yr_date,"YES","NO")</f>
        <v/>
      </c>
    </row>
    <row r="5">
      <c r="A5" s="90" t="inlineStr">
        <is>
          <t>QSBS 5-year met at Phase 3 readout?</t>
        </is>
      </c>
      <c r="B5" s="102">
        <f>IF(ph3_date&gt;=qsbs_5yr_date,"YES","NO")</f>
        <v/>
      </c>
    </row>
    <row r="6">
      <c r="A6" s="90" t="inlineStr">
        <is>
          <t>§1045 eligible?</t>
        </is>
      </c>
      <c r="B6" s="102">
        <f>IF(AND((lockup_date-serb_date)&gt;180,Inputs!$B$33="YES"),"YES","NO")</f>
        <v/>
      </c>
    </row>
    <row r="7">
      <c r="A7" s="90" t="inlineStr">
        <is>
          <t>§1045 → §1202 chain achievable?</t>
        </is>
      </c>
      <c r="B7" s="102">
        <f>IF(AND(B6="YES",(evecxia_ph2_date-serb_date)&gt;=1826),"YES","NO")</f>
        <v/>
      </c>
    </row>
    <row r="10">
      <c r="A10" s="84" t="inlineStr">
        <is>
          <t>SCENARIO COMPARISON</t>
        </is>
      </c>
      <c r="B10" s="108" t="n"/>
      <c r="C10" s="108" t="n"/>
      <c r="D10" s="108" t="n"/>
      <c r="E10" s="108" t="n"/>
      <c r="F10" s="108" t="n"/>
      <c r="G10" s="109" t="n"/>
    </row>
    <row r="11">
      <c r="A11" s="103" t="inlineStr">
        <is>
          <t>Metric</t>
        </is>
      </c>
      <c r="B11" s="103" t="inlineStr">
        <is>
          <t>S1: Lock-Up</t>
        </is>
      </c>
      <c r="C11" s="103" t="inlineStr">
        <is>
          <t>S2: Ph3+</t>
        </is>
      </c>
      <c r="D11" s="103" t="inlineStr">
        <is>
          <t>S3: Ph3-</t>
        </is>
      </c>
      <c r="E11" s="103" t="inlineStr">
        <is>
          <t>S4: Dual Lot</t>
        </is>
      </c>
      <c r="F11" s="103" t="inlineStr">
        <is>
          <t>S5: Eve+</t>
        </is>
      </c>
      <c r="G11" s="103" t="inlineStr">
        <is>
          <t>S6: Eve-</t>
        </is>
      </c>
    </row>
    <row r="12">
      <c r="A12" s="90" t="inlineStr">
        <is>
          <t>Gross Proceeds</t>
        </is>
      </c>
      <c r="B12" s="104">
        <f>Scenarios!B9</f>
        <v/>
      </c>
      <c r="C12" s="104">
        <f>Scenarios!C9</f>
        <v/>
      </c>
      <c r="D12" s="104">
        <f>Scenarios!D9</f>
        <v/>
      </c>
      <c r="E12" s="104">
        <f>Scenarios!D36</f>
        <v/>
      </c>
      <c r="F12" s="104">
        <f>Scenarios!F9</f>
        <v/>
      </c>
      <c r="G12" s="104">
        <f>Scenarios!G9</f>
        <v/>
      </c>
    </row>
    <row r="13">
      <c r="A13" s="90" t="inlineStr">
        <is>
          <t>Gain</t>
        </is>
      </c>
      <c r="B13" s="104">
        <f>Scenarios!B11</f>
        <v/>
      </c>
      <c r="C13" s="104">
        <f>Scenarios!C11</f>
        <v/>
      </c>
      <c r="D13" s="104">
        <f>Scenarios!D11</f>
        <v/>
      </c>
      <c r="E13" s="104">
        <f>Scenarios!D38</f>
        <v/>
      </c>
      <c r="F13" s="104">
        <f>Scenarios!F11</f>
        <v/>
      </c>
      <c r="G13" s="104">
        <f>Scenarios!G11</f>
        <v/>
      </c>
    </row>
    <row r="14">
      <c r="A14" s="90" t="inlineStr">
        <is>
          <t>§1202 Exclusion</t>
        </is>
      </c>
      <c r="B14" s="104">
        <f>Scenarios!B18</f>
        <v/>
      </c>
      <c r="C14" s="104">
        <f>Scenarios!C18</f>
        <v/>
      </c>
      <c r="D14" s="104">
        <f>Scenarios!D18</f>
        <v/>
      </c>
      <c r="E14" s="104">
        <f>Scenarios!D47</f>
        <v/>
      </c>
      <c r="F14" s="104">
        <f>Scenarios!F18</f>
        <v/>
      </c>
      <c r="G14" s="104">
        <f>Scenarios!G18</f>
        <v/>
      </c>
    </row>
    <row r="15">
      <c r="A15" s="90" t="inlineStr">
        <is>
          <t>Total Tax</t>
        </is>
      </c>
      <c r="B15" s="104">
        <f>Scenarios!B24</f>
        <v/>
      </c>
      <c r="C15" s="104">
        <f>Scenarios!C24</f>
        <v/>
      </c>
      <c r="D15" s="104">
        <f>Scenarios!D24</f>
        <v/>
      </c>
      <c r="E15" s="104">
        <f>Scenarios!D49</f>
        <v/>
      </c>
      <c r="F15" s="104">
        <f>Scenarios!F24</f>
        <v/>
      </c>
      <c r="G15" s="104">
        <f>Scenarios!G24</f>
        <v/>
      </c>
    </row>
    <row r="16">
      <c r="A16" s="90" t="inlineStr">
        <is>
          <t>Net After-Tax</t>
        </is>
      </c>
      <c r="B16" s="104">
        <f>Scenarios!B26</f>
        <v/>
      </c>
      <c r="C16" s="104">
        <f>Scenarios!C26</f>
        <v/>
      </c>
      <c r="D16" s="104">
        <f>Scenarios!D26</f>
        <v/>
      </c>
      <c r="E16" s="104">
        <f>Scenarios!D50</f>
        <v/>
      </c>
      <c r="F16" s="104">
        <f>Scenarios!F26</f>
        <v/>
      </c>
      <c r="G16" s="104">
        <f>Scenarios!G26</f>
        <v/>
      </c>
    </row>
    <row r="17">
      <c r="A17" s="90" t="inlineStr">
        <is>
          <t>MOIC</t>
        </is>
      </c>
      <c r="B17" s="105">
        <f>Scenarios!B27</f>
        <v/>
      </c>
      <c r="C17" s="105">
        <f>Scenarios!C27</f>
        <v/>
      </c>
      <c r="D17" s="105">
        <f>Scenarios!D27</f>
        <v/>
      </c>
      <c r="E17" s="105" t="inlineStr">
        <is>
          <t>Varies</t>
        </is>
      </c>
      <c r="F17" s="105">
        <f>Scenarios!F27</f>
        <v/>
      </c>
      <c r="G17" s="105">
        <f>Scenarios!G27</f>
        <v/>
      </c>
    </row>
    <row r="20">
      <c r="A20" s="84" t="inlineStr">
        <is>
          <t>SENSITIVITY ANALYSIS: LBRX Price vs Tax Treatment</t>
        </is>
      </c>
      <c r="B20" s="108" t="n"/>
      <c r="C20" s="108" t="n"/>
      <c r="D20" s="108" t="n"/>
      <c r="E20" s="108" t="n"/>
      <c r="F20" s="108" t="n"/>
      <c r="G20" s="109" t="n"/>
    </row>
    <row r="21">
      <c r="A21" s="90" t="inlineStr">
        <is>
          <t>Tax Treatment</t>
        </is>
      </c>
      <c r="B21" s="106" t="inlineStr">
        <is>
          <t>$5</t>
        </is>
      </c>
      <c r="C21" s="106" t="inlineStr">
        <is>
          <t>$10</t>
        </is>
      </c>
      <c r="D21" s="106" t="inlineStr">
        <is>
          <t>$15</t>
        </is>
      </c>
      <c r="E21" s="106" t="inlineStr">
        <is>
          <t>$20</t>
        </is>
      </c>
      <c r="F21" s="106" t="inlineStr">
        <is>
          <t>$30</t>
        </is>
      </c>
      <c r="G21" s="106" t="inlineStr">
        <is>
          <t>$50</t>
        </is>
      </c>
      <c r="H21" s="106" t="inlineStr">
        <is>
          <t>$100</t>
        </is>
      </c>
    </row>
    <row r="22">
      <c r="A22" s="90" t="inlineStr">
        <is>
          <t>No QSBS (standard LTCG)</t>
        </is>
      </c>
      <c r="B22" s="107">
        <f>serb_shares*5-(serb_shares*5-serb_basis)*combined_rate</f>
        <v/>
      </c>
      <c r="C22" s="107">
        <f>serb_shares*10-(serb_shares*10-serb_basis)*combined_rate</f>
        <v/>
      </c>
      <c r="D22" s="107">
        <f>serb_shares*15-(serb_shares*15-serb_basis)*combined_rate</f>
        <v/>
      </c>
      <c r="E22" s="107">
        <f>serb_shares*20-(serb_shares*20-serb_basis)*combined_rate</f>
        <v/>
      </c>
      <c r="F22" s="107">
        <f>serb_shares*30-(serb_shares*30-serb_basis)*combined_rate</f>
        <v/>
      </c>
      <c r="G22" s="107">
        <f>serb_shares*50-(serb_shares*50-serb_basis)*combined_rate</f>
        <v/>
      </c>
      <c r="H22" s="107">
        <f>serb_shares*100-(serb_shares*100-serb_basis)*combined_rate</f>
        <v/>
      </c>
    </row>
    <row r="23">
      <c r="A23" s="90" t="inlineStr">
        <is>
          <t>QSBS §1202 Excluded</t>
        </is>
      </c>
      <c r="B23" s="107">
        <f>serb_shares*5-MAX(0,(serb_shares*5-serb_basis-10000000))*combined_rate</f>
        <v/>
      </c>
      <c r="C23" s="107">
        <f>serb_shares*10-MAX(0,(serb_shares*10-serb_basis-10000000))*combined_rate</f>
        <v/>
      </c>
      <c r="D23" s="107">
        <f>serb_shares*15-MAX(0,(serb_shares*15-serb_basis-10000000))*combined_rate</f>
        <v/>
      </c>
      <c r="E23" s="107">
        <f>serb_shares*20-MAX(0,(serb_shares*20-serb_basis-10000000))*combined_rate</f>
        <v/>
      </c>
      <c r="F23" s="107">
        <f>serb_shares*30-MAX(0,(serb_shares*30-serb_basis-10000000))*combined_rate</f>
        <v/>
      </c>
      <c r="G23" s="107">
        <f>serb_shares*50-MAX(0,(serb_shares*50-serb_basis-10000000))*combined_rate</f>
        <v/>
      </c>
      <c r="H23" s="107">
        <f>serb_shares*100-MAX(0,(serb_shares*100-serb_basis-10000000))*combined_rate</f>
        <v/>
      </c>
    </row>
  </sheetData>
  <mergeCells count="3">
    <mergeCell ref="A20:G20"/>
    <mergeCell ref="A3:C3"/>
    <mergeCell ref="A10:G10"/>
  </mergeCells>
  <conditionalFormatting sqref="B4:B7">
    <cfRule type="cellIs" priority="1" operator="equal" dxfId="0">
      <formula>"YES"</formula>
    </cfRule>
    <cfRule type="cellIs" priority="2" operator="equal" dxfId="1">
      <formula>"NO"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70" customWidth="1" min="3" max="3"/>
    <col width="20" customWidth="1" min="4" max="4"/>
    <col width="15" customWidth="1" min="5" max="5"/>
  </cols>
  <sheetData>
    <row r="1">
      <c r="A1" s="66" t="inlineStr">
        <is>
          <t>#</t>
        </is>
      </c>
      <c r="B1" s="66" t="inlineStr">
        <is>
          <t>Source</t>
        </is>
      </c>
      <c r="C1" s="66" t="inlineStr">
        <is>
          <t>URL</t>
        </is>
      </c>
      <c r="D1" s="66" t="inlineStr">
        <is>
          <t>Category</t>
        </is>
      </c>
      <c r="E1" s="66" t="inlineStr">
        <is>
          <t>Date Accessed</t>
        </is>
      </c>
    </row>
    <row r="2">
      <c r="A2" t="n">
        <v>1</v>
      </c>
      <c r="B2" t="inlineStr">
        <is>
          <t>LBRX Current Stock Price</t>
        </is>
      </c>
      <c r="C2" s="67" t="inlineStr">
        <is>
          <t>https://finance.yahoo.com/quote/LBRX/</t>
        </is>
      </c>
      <c r="D2" t="inlineStr">
        <is>
          <t>Market Data</t>
        </is>
      </c>
      <c r="E2" t="inlineStr">
        <is>
          <t>2026-02-13</t>
        </is>
      </c>
    </row>
    <row r="3">
      <c r="A3" t="n">
        <v>2</v>
      </c>
      <c r="B3" t="inlineStr">
        <is>
          <t>LBRX IPO Announcement</t>
        </is>
      </c>
      <c r="C3" s="67" t="inlineStr">
        <is>
          <t>https://www.cooley.com/news/coverage/2025/2025-09-12-lb-pharmaceuticals-announces-$285-million-upsized-ipo</t>
        </is>
      </c>
      <c r="D3" t="inlineStr">
        <is>
          <t>Press Release</t>
        </is>
      </c>
      <c r="E3" t="inlineStr">
        <is>
          <t>2026-02-13</t>
        </is>
      </c>
    </row>
    <row r="4">
      <c r="A4" t="n">
        <v>3</v>
      </c>
      <c r="B4" t="inlineStr">
        <is>
          <t>LBRX Phase 2 ILLUMINATE-1</t>
        </is>
      </c>
      <c r="C4" s="67" t="inlineStr">
        <is>
          <t>https://www.globenewswire.com/news-release/2026/01/26/3225570/0/en/LB-Pharmaceuticals-Initiates-Phase-2-ILLUMINATE-1-Trial-in-Bipolar-Depression-Expanding-LB-102-Development-Program.html</t>
        </is>
      </c>
      <c r="D4" t="inlineStr">
        <is>
          <t>Clinical Data</t>
        </is>
      </c>
      <c r="E4" t="inlineStr">
        <is>
          <t>2026-02-13</t>
        </is>
      </c>
    </row>
    <row r="5">
      <c r="A5" t="n">
        <v>4</v>
      </c>
      <c r="B5" t="inlineStr">
        <is>
          <t>LBRX PIPE Financing Feb 2026</t>
        </is>
      </c>
      <c r="C5" s="67" t="inlineStr">
        <is>
          <t>https://www.stocktitan.net/news/LBRX/lb-pharmaceuticals-announces-100-0-million-private-oct35p3986tv.html</t>
        </is>
      </c>
      <c r="D5" t="inlineStr">
        <is>
          <t>Press Release</t>
        </is>
      </c>
      <c r="E5" t="inlineStr">
        <is>
          <t>2026-02-13</t>
        </is>
      </c>
    </row>
    <row r="6">
      <c r="A6" t="n">
        <v>5</v>
      </c>
      <c r="B6" t="inlineStr">
        <is>
          <t>Karuna BMY Acquisition</t>
        </is>
      </c>
      <c r="C6" s="67" t="inlineStr">
        <is>
          <t>https://news.bms.com/news/details/2023/Bristol-Myers-Squibb-Strengthens-Neuroscience-Portfolio-with-Acquisition-of-Karuna-Therapeutics/default.aspx</t>
        </is>
      </c>
      <c r="D6" t="inlineStr">
        <is>
          <t>Comp Valuation</t>
        </is>
      </c>
      <c r="E6" t="inlineStr">
        <is>
          <t>2026-02-13</t>
        </is>
      </c>
    </row>
    <row r="7">
      <c r="A7" t="n">
        <v>6</v>
      </c>
      <c r="B7" t="inlineStr">
        <is>
          <t>ITCI JNJ Acquisition</t>
        </is>
      </c>
      <c r="C7" s="67" t="inlineStr">
        <is>
          <t>https://www.jnj.com/media-center/press-releases/johnson-johnson-strengthens-neuroscience-leadership-with-acquisition-of-intra-cellular-therapies-inc</t>
        </is>
      </c>
      <c r="D7" t="inlineStr">
        <is>
          <t>Comp Valuation</t>
        </is>
      </c>
      <c r="E7" t="inlineStr">
        <is>
          <t>2026-02-13</t>
        </is>
      </c>
    </row>
    <row r="8">
      <c r="A8" t="n">
        <v>7</v>
      </c>
      <c r="B8" t="inlineStr">
        <is>
          <t>Cerevel AbbVie Acquisition</t>
        </is>
      </c>
      <c r="C8" s="67" t="inlineStr">
        <is>
          <t>https://news.abbvie.com/2023-12-06-AbbVie-to-Acquire-Cerevel-Therapeutics-in-Transformative-Transaction-to-Strengthen-Neuroscience-Pipeline</t>
        </is>
      </c>
      <c r="D8" t="inlineStr">
        <is>
          <t>Comp Valuation</t>
        </is>
      </c>
      <c r="E8" t="inlineStr">
        <is>
          <t>2026-02-13</t>
        </is>
      </c>
    </row>
    <row r="9">
      <c r="A9" t="n">
        <v>8</v>
      </c>
      <c r="B9" t="inlineStr">
        <is>
          <t>Cerevel Emraclidine Ph2 Failure</t>
        </is>
      </c>
      <c r="C9" s="67" t="inlineStr">
        <is>
          <t>https://news.abbvie.com/2024-11-11-AbbVie-Provides-Update-on-Phase-2-Results-for-Emraclidine-in-Schizophrenia</t>
        </is>
      </c>
      <c r="D9" t="inlineStr">
        <is>
          <t>Comp Valuation</t>
        </is>
      </c>
      <c r="E9" t="inlineStr">
        <is>
          <t>2026-02-13</t>
        </is>
      </c>
    </row>
    <row r="10">
      <c r="A10" t="n">
        <v>9</v>
      </c>
      <c r="B10" t="inlineStr">
        <is>
          <t>IRS §1202 QSBS Rules</t>
        </is>
      </c>
      <c r="C10" s="67" t="inlineStr">
        <is>
          <t>https://www.irs.gov/instructions/i1040sd (Schedule D instructions)</t>
        </is>
      </c>
      <c r="D10" t="inlineStr">
        <is>
          <t>Tax Authority</t>
        </is>
      </c>
      <c r="E10" t="inlineStr">
        <is>
          <t>2026-02-13</t>
        </is>
      </c>
    </row>
    <row r="11">
      <c r="A11" t="n">
        <v>10</v>
      </c>
      <c r="B11" t="inlineStr">
        <is>
          <t>IRS §1045 Rollover Rules</t>
        </is>
      </c>
      <c r="C11" s="67" t="inlineStr">
        <is>
          <t>https://www.irs.gov/publications/p550 (Investment Income and Expenses)</t>
        </is>
      </c>
      <c r="D11" t="inlineStr">
        <is>
          <t>Tax Authority</t>
        </is>
      </c>
      <c r="E11" t="inlineStr">
        <is>
          <t>2026-02-13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2026-02-13T23:18:07Z</dcterms:created>
  <dcterms:modified xsi:type="dcterms:W3CDTF">2026-02-13T23:46:17Z</dcterms:modified>
</cp:coreProperties>
</file>