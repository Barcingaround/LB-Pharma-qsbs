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nalysis" sheetId="1" state="visible" r:id="rId1"/>
    <sheet name="Comps" sheetId="2" state="visible" r:id="rId2"/>
    <sheet name="Citation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"/>
    <numFmt numFmtId="165" formatCode="$#,##0.00"/>
    <numFmt numFmtId="166" formatCode="yyyy-mm-dd h:mm:ss"/>
    <numFmt numFmtId="167" formatCode="0.0%"/>
    <numFmt numFmtId="168" formatCode="0.00x"/>
  </numFmts>
  <fonts count="11">
    <font>
      <name val="Calibri"/>
      <family val="2"/>
      <color theme="1"/>
      <sz val="11"/>
      <scheme val="minor"/>
    </font>
    <font>
      <b val="1"/>
      <color rgb="001F4E78"/>
      <sz val="16"/>
    </font>
    <font>
      <i val="1"/>
      <sz val="9"/>
    </font>
    <font>
      <b val="1"/>
      <color rgb="00FFFFFF"/>
      <sz val="12"/>
    </font>
    <font>
      <b val="1"/>
      <color rgb="00FFFFFF"/>
      <sz val="9"/>
    </font>
    <font>
      <b val="1"/>
      <sz val="9"/>
    </font>
    <font>
      <b val="1"/>
      <i val="1"/>
      <sz val="10"/>
    </font>
    <font>
      <b val="1"/>
      <color rgb="001F4E78"/>
      <sz val="14"/>
    </font>
    <font>
      <b val="1"/>
      <color rgb="00FFFFFF"/>
      <sz val="11"/>
    </font>
    <font>
      <b val="1"/>
    </font>
    <font>
      <b val="1"/>
      <i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4472C4"/>
        <bgColor rgb="004472C4"/>
      </patternFill>
    </fill>
    <fill>
      <patternFill patternType="solid">
        <fgColor rgb="00C00000"/>
        <bgColor rgb="00C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4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168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7" fillId="0" borderId="0" pivotButton="0" quotePrefix="0" xfId="0"/>
    <xf numFmtId="0" fontId="8" fillId="3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1" sqref="A1"/>
    </sheetView>
  </sheetViews>
  <sheetFormatPr baseColWidth="8" defaultRowHeight="15"/>
  <cols>
    <col width="25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LBRX QSBS Investment Analysis — Simplified</t>
        </is>
      </c>
    </row>
    <row r="2">
      <c r="A2" s="2" t="inlineStr">
        <is>
          <t>Analysis Date: February 16, 2026</t>
        </is>
      </c>
    </row>
    <row r="4">
      <c r="A4" s="3" t="inlineStr">
        <is>
          <t>INVESTMENT OVERVIEW</t>
        </is>
      </c>
    </row>
    <row r="5">
      <c r="A5" t="inlineStr">
        <is>
          <t>Initial Investment</t>
        </is>
      </c>
      <c r="B5" s="4" t="n">
        <v>100000</v>
      </c>
    </row>
    <row r="6">
      <c r="A6" t="inlineStr">
        <is>
          <t>Share Price</t>
        </is>
      </c>
      <c r="B6" s="5" t="n">
        <v>24</v>
      </c>
    </row>
    <row r="7">
      <c r="A7" t="inlineStr">
        <is>
          <t>Shares Acquired</t>
        </is>
      </c>
      <c r="B7" s="6">
        <f>B5/B6</f>
        <v/>
      </c>
    </row>
    <row r="8">
      <c r="A8" t="inlineStr">
        <is>
          <t>Investment Date</t>
        </is>
      </c>
      <c r="B8" s="7" t="n">
        <v>44684</v>
      </c>
    </row>
    <row r="9">
      <c r="A9" t="inlineStr">
        <is>
          <t>QSBS 5-Year Date</t>
        </is>
      </c>
      <c r="B9">
        <f>B8+1826</f>
        <v/>
      </c>
    </row>
    <row r="11">
      <c r="A11" s="3" t="inlineStr">
        <is>
          <t>TAX ASSUMPTIONS</t>
        </is>
      </c>
    </row>
    <row r="12">
      <c r="A12" t="inlineStr">
        <is>
          <t>Federal LTCG Rate</t>
        </is>
      </c>
      <c r="B12" s="8" t="n">
        <v>0.2</v>
      </c>
    </row>
    <row r="13">
      <c r="A13" t="inlineStr">
        <is>
          <t>NIIT (if applicable)</t>
        </is>
      </c>
      <c r="B13" s="8" t="inlineStr">
        <is>
          <t>0.038</t>
        </is>
      </c>
    </row>
    <row r="14">
      <c r="A14" t="inlineStr">
        <is>
          <t>State Tax Rate</t>
        </is>
      </c>
      <c r="B14" s="8" t="n">
        <v>0</v>
      </c>
    </row>
    <row r="15">
      <c r="A15" t="inlineStr">
        <is>
          <t>Combined Rate</t>
        </is>
      </c>
      <c r="B15" s="8">
        <f>B12+B13</f>
        <v/>
      </c>
    </row>
    <row r="18">
      <c r="A18" s="3" t="inlineStr">
        <is>
          <t>SCENARIO COMPARISON</t>
        </is>
      </c>
    </row>
    <row r="19">
      <c r="A19" s="9" t="inlineStr">
        <is>
          <t>Metric</t>
        </is>
      </c>
      <c r="B19" s="9" t="inlineStr">
        <is>
          <t>Lock-Up Sale
(Mar 2026)</t>
        </is>
      </c>
      <c r="C19" s="9" t="inlineStr">
        <is>
          <t>Hold to Ph3+
(Oct 2027)</t>
        </is>
      </c>
      <c r="D19" s="9" t="inlineStr">
        <is>
          <t>Hold to Ph3-
(Oct 2027)</t>
        </is>
      </c>
      <c r="E19" s="9" t="inlineStr">
        <is>
          <t>§1045 to Eve
(Ph2+)</t>
        </is>
      </c>
      <c r="F19" s="9" t="inlineStr">
        <is>
          <t>§1045 to Eve
(Ph2-)</t>
        </is>
      </c>
    </row>
    <row r="20">
      <c r="A20" s="10" t="inlineStr">
        <is>
          <t>Sale Price/Share</t>
        </is>
      </c>
      <c r="B20" s="4" t="n">
        <v>24.22</v>
      </c>
      <c r="C20" s="4" t="n">
        <v>100</v>
      </c>
      <c r="D20" s="4" t="n">
        <v>6.6</v>
      </c>
      <c r="E20" s="4">
        <f>Comps!B3/365000000</f>
        <v/>
      </c>
      <c r="F20" s="4">
        <f>Comps!B6/365000000</f>
        <v/>
      </c>
    </row>
    <row r="21">
      <c r="A21" s="10" t="inlineStr">
        <is>
          <t>Gross Proceeds</t>
        </is>
      </c>
      <c r="B21" s="4">
        <f>B20*B7</f>
        <v/>
      </c>
      <c r="C21" s="4">
        <f>C20*B7</f>
        <v/>
      </c>
      <c r="D21" s="4">
        <f>D20*B7</f>
        <v/>
      </c>
      <c r="E21" s="4">
        <f>E20*B7</f>
        <v/>
      </c>
      <c r="F21" s="4">
        <f>F20*B7</f>
        <v/>
      </c>
    </row>
    <row r="22">
      <c r="A22" s="10" t="inlineStr">
        <is>
          <t>Cost Basis</t>
        </is>
      </c>
      <c r="B22" s="4" t="n">
        <v>100000</v>
      </c>
      <c r="C22" s="4" t="n">
        <v>100000</v>
      </c>
      <c r="D22" s="4" t="n">
        <v>100000</v>
      </c>
      <c r="E22" s="4" t="n">
        <v>100000</v>
      </c>
      <c r="F22" s="4" t="n">
        <v>100000</v>
      </c>
    </row>
    <row r="23">
      <c r="A23" s="10" t="inlineStr">
        <is>
          <t>Gross Gain</t>
        </is>
      </c>
      <c r="B23" s="4">
        <f>B21-B22</f>
        <v/>
      </c>
      <c r="C23" s="4">
        <f>C21-C22</f>
        <v/>
      </c>
      <c r="D23" s="4">
        <f>D21-D22</f>
        <v/>
      </c>
      <c r="E23" s="4">
        <f>E21-E22</f>
        <v/>
      </c>
      <c r="F23" s="4">
        <f>F21-F22</f>
        <v/>
      </c>
    </row>
    <row r="24">
      <c r="A24" s="10" t="inlineStr">
        <is>
          <t>QSBS Qualified?</t>
        </is>
      </c>
      <c r="B24" t="inlineStr">
        <is>
          <t>NO</t>
        </is>
      </c>
      <c r="C24" t="inlineStr">
        <is>
          <t>YES</t>
        </is>
      </c>
      <c r="D24" t="inlineStr">
        <is>
          <t>YES</t>
        </is>
      </c>
      <c r="E24" t="inlineStr">
        <is>
          <t>YES*</t>
        </is>
      </c>
      <c r="F24" t="inlineStr">
        <is>
          <t>YES*</t>
        </is>
      </c>
    </row>
    <row r="25">
      <c r="A25" s="10" t="inlineStr">
        <is>
          <t>§1202 Exclusion</t>
        </is>
      </c>
      <c r="B25" t="n">
        <v>0</v>
      </c>
      <c r="C25">
        <f>MIN(C23,MAX(10000000,10*C22))</f>
        <v/>
      </c>
      <c r="D25">
        <f>MIN(MAX(0,D23),MAX(10000000,10*D22))</f>
        <v/>
      </c>
      <c r="E25">
        <f>MIN(E23,MAX(10000000,10*E22))</f>
        <v/>
      </c>
      <c r="F25">
        <f>MIN(MAX(0,F23),MAX(10000000,10*F22))</f>
        <v/>
      </c>
    </row>
    <row r="26">
      <c r="A26" s="10" t="inlineStr">
        <is>
          <t>Total Tax</t>
        </is>
      </c>
      <c r="B26" s="4">
        <f>B23*0.238</f>
        <v/>
      </c>
      <c r="C26" s="4">
        <f>MAX(0,C23-C25)*0.238</f>
        <v/>
      </c>
      <c r="D26" s="4">
        <f>MAX(0,D23-D25)*0.238</f>
        <v/>
      </c>
      <c r="E26" s="4">
        <f>MAX(0,E23-E25)*0.238</f>
        <v/>
      </c>
      <c r="F26" s="4">
        <f>MAX(0,F23-F25)*0.238</f>
        <v/>
      </c>
    </row>
    <row r="27">
      <c r="A27" s="10" t="inlineStr">
        <is>
          <t>Net After-Tax</t>
        </is>
      </c>
      <c r="B27" s="4">
        <f>B21-B26</f>
        <v/>
      </c>
      <c r="C27" s="4">
        <f>C21-C26</f>
        <v/>
      </c>
      <c r="D27" s="4">
        <f>D21-D26</f>
        <v/>
      </c>
      <c r="E27" s="4">
        <f>E21-E26</f>
        <v/>
      </c>
      <c r="F27" s="4">
        <f>F21-F26</f>
        <v/>
      </c>
    </row>
    <row r="28">
      <c r="A28" s="10" t="inlineStr">
        <is>
          <t>MOIC</t>
        </is>
      </c>
      <c r="B28" s="11">
        <f>B27/B22</f>
        <v/>
      </c>
      <c r="C28" s="11">
        <f>C27/C22</f>
        <v/>
      </c>
      <c r="D28" s="11">
        <f>D27/D22</f>
        <v/>
      </c>
      <c r="E28" s="11">
        <f>E27/E22</f>
        <v/>
      </c>
      <c r="F28" s="11">
        <f>F27/F22</f>
        <v/>
      </c>
    </row>
    <row r="29">
      <c r="A29" s="10" t="inlineStr">
        <is>
          <t>Effective Tax Rate</t>
        </is>
      </c>
      <c r="B29" s="4">
        <f>IF(B23&gt;0,B26/B23,0)</f>
        <v/>
      </c>
      <c r="C29" s="4">
        <f>IF(C23&gt;0,C26/C23,0)</f>
        <v/>
      </c>
      <c r="D29" s="4">
        <f>IF(D23&gt;0,D26/D23,0)</f>
        <v/>
      </c>
      <c r="E29" s="4">
        <f>IF(E23&gt;0,E26/E23,0)</f>
        <v/>
      </c>
      <c r="F29" s="4">
        <f>IF(F23&gt;0,F26/F23,0)</f>
        <v/>
      </c>
    </row>
    <row r="31">
      <c r="A31" s="3" t="inlineStr">
        <is>
          <t>KEY INSIGHTS &amp; RECOMMENDATIONS</t>
        </is>
      </c>
    </row>
    <row r="32" ht="15" customHeight="1">
      <c r="A32" s="12" t="inlineStr">
        <is>
          <t>✓ QSBS 5-Year Threshold: May 3, 2027 (lock-up sale does NOT qualify)</t>
        </is>
      </c>
    </row>
    <row r="33" ht="15" customHeight="1">
      <c r="A33" s="12" t="inlineStr">
        <is>
          <t>✓ Tax Savings: §1202 exclusion can save ~$238k on $1M gain (at 23.8% tax rate)</t>
        </is>
      </c>
    </row>
    <row r="34" ht="15" customHeight="1">
      <c r="A34" s="12" t="inlineStr">
        <is>
          <t>✓ Lock-Up Risk: Selling at lock-up = 23.8% tax on ALL gains (no QSBS benefit)</t>
        </is>
      </c>
    </row>
    <row r="35" ht="15" customHeight="1">
      <c r="A35" s="12" t="inlineStr">
        <is>
          <t>✓ Phase 3 Timing: Oct 2027 readout is AFTER 5-year mark (QSBS qualified)</t>
        </is>
      </c>
    </row>
    <row r="36" ht="15" customHeight="1">
      <c r="A36" s="12" t="inlineStr">
        <is>
          <t>✓ §1045 Option: Rolling to Evecxia defers tax + preserves tacked holding period</t>
        </is>
      </c>
    </row>
    <row r="37" ht="15" customHeight="1">
      <c r="A37" s="12" t="inlineStr">
        <is>
          <t>⚠ Risk: Evecxia pathway has binary Phase 2 risk (35% success probability)</t>
        </is>
      </c>
    </row>
    <row r="38" ht="5" customHeight="1">
      <c r="A38" s="12" t="inlineStr"/>
    </row>
    <row r="39" ht="15" customHeight="1">
      <c r="A39" s="13" t="inlineStr">
        <is>
          <t>RECOMMENDATION: Hold through Phase 3 readout to capture QSBS exclusion</t>
        </is>
      </c>
    </row>
    <row r="40" ht="15" customHeight="1">
      <c r="A40" s="12" t="inlineStr">
        <is>
          <t>unless Evecxia opportunity presents exceptional risk-adjusted upside.</t>
        </is>
      </c>
    </row>
  </sheetData>
  <mergeCells count="14">
    <mergeCell ref="A4:B4"/>
    <mergeCell ref="A32:G32"/>
    <mergeCell ref="A36:G36"/>
    <mergeCell ref="A1:G1"/>
    <mergeCell ref="A40:G40"/>
    <mergeCell ref="A18:G18"/>
    <mergeCell ref="A31:G31"/>
    <mergeCell ref="A11:B11"/>
    <mergeCell ref="A34:G34"/>
    <mergeCell ref="A35:G35"/>
    <mergeCell ref="A39:G39"/>
    <mergeCell ref="A38:G38"/>
    <mergeCell ref="A33:G33"/>
    <mergeCell ref="A37:G3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15" customWidth="1" min="3" max="3"/>
  </cols>
  <sheetData>
    <row r="1">
      <c r="A1" s="14" t="inlineStr">
        <is>
          <t>COMPARABLE VALUATIONS &amp; ASSUMPTIONS</t>
        </is>
      </c>
    </row>
    <row r="3">
      <c r="A3" s="15" t="inlineStr">
        <is>
          <t>LBRX POST-PHASE 3 SCENARIOS</t>
        </is>
      </c>
    </row>
    <row r="4">
      <c r="A4" s="16" t="inlineStr">
        <is>
          <t>Scenario</t>
        </is>
      </c>
      <c r="B4" s="16" t="inlineStr">
        <is>
          <t>Market Cap</t>
        </is>
      </c>
      <c r="C4" s="16" t="inlineStr">
        <is>
          <t>Price/Share</t>
        </is>
      </c>
    </row>
    <row r="5">
      <c r="A5" t="inlineStr">
        <is>
          <t>Positive - Conservative</t>
        </is>
      </c>
      <c r="B5" s="4" t="n">
        <v>1500000000</v>
      </c>
      <c r="C5" s="5" t="n">
        <v>50</v>
      </c>
    </row>
    <row r="6">
      <c r="A6" t="inlineStr">
        <is>
          <t>Positive - Base Case</t>
        </is>
      </c>
      <c r="B6" s="4" t="n">
        <v>3000000000</v>
      </c>
      <c r="C6" s="5" t="n">
        <v>100</v>
      </c>
    </row>
    <row r="7">
      <c r="A7" t="inlineStr">
        <is>
          <t>Positive - Karuna-style</t>
        </is>
      </c>
      <c r="B7" s="4" t="n">
        <v>5000000000</v>
      </c>
      <c r="C7" s="5" t="n">
        <v>165</v>
      </c>
    </row>
    <row r="8">
      <c r="A8" t="inlineStr">
        <is>
          <t>Negative - Wipeout</t>
        </is>
      </c>
      <c r="B8" s="4" t="n">
        <v>100000000</v>
      </c>
      <c r="C8" s="5" t="n">
        <v>3.3</v>
      </c>
    </row>
    <row r="9">
      <c r="A9" t="inlineStr">
        <is>
          <t>Negative - Cash Floor</t>
        </is>
      </c>
      <c r="B9" s="4" t="n">
        <v>200000000</v>
      </c>
      <c r="C9" s="5" t="n">
        <v>6.6</v>
      </c>
    </row>
    <row r="10">
      <c r="A10" t="inlineStr">
        <is>
          <t>Negative - Modest Decline</t>
        </is>
      </c>
      <c r="B10" s="4" t="n">
        <v>350000000</v>
      </c>
      <c r="C10" s="5" t="n">
        <v>11.5</v>
      </c>
    </row>
    <row r="12">
      <c r="A12" s="15" t="inlineStr">
        <is>
          <t>EVECXIA POST-PHASE 2 SCENARIOS</t>
        </is>
      </c>
    </row>
    <row r="13">
      <c r="A13" s="16" t="inlineStr">
        <is>
          <t>Scenario</t>
        </is>
      </c>
      <c r="B13" s="16" t="inlineStr">
        <is>
          <t>Valuation</t>
        </is>
      </c>
      <c r="C13" s="16" t="inlineStr">
        <is>
          <t>Probability</t>
        </is>
      </c>
    </row>
    <row r="14">
      <c r="A14" t="inlineStr">
        <is>
          <t>Positive - Modest</t>
        </is>
      </c>
      <c r="B14" s="4" t="n">
        <v>800000000</v>
      </c>
      <c r="C14" t="inlineStr">
        <is>
          <t>35% prob</t>
        </is>
      </c>
    </row>
    <row r="15">
      <c r="A15" t="inlineStr">
        <is>
          <t>Positive - Strong (Karuna-like)</t>
        </is>
      </c>
      <c r="B15" s="4" t="n">
        <v>1500000000</v>
      </c>
      <c r="C15" t="inlineStr">
        <is>
          <t>35% prob</t>
        </is>
      </c>
    </row>
    <row r="16">
      <c r="A16" t="inlineStr">
        <is>
          <t>Positive - Blowout + M&amp;A</t>
        </is>
      </c>
      <c r="B16" s="4" t="n">
        <v>3000000000</v>
      </c>
      <c r="C16" t="inlineStr">
        <is>
          <t>35% prob</t>
        </is>
      </c>
    </row>
    <row r="17">
      <c r="A17" t="inlineStr">
        <is>
          <t>Negative - Wipeout</t>
        </is>
      </c>
      <c r="B17" s="4" t="n">
        <v>50000000</v>
      </c>
      <c r="C17" t="inlineStr">
        <is>
          <t>65% prob</t>
        </is>
      </c>
    </row>
    <row r="18">
      <c r="A18" t="inlineStr">
        <is>
          <t>Negative - Platform Value</t>
        </is>
      </c>
      <c r="B18" s="4" t="n">
        <v>120000000</v>
      </c>
      <c r="C18" t="inlineStr">
        <is>
          <t>65% prob</t>
        </is>
      </c>
    </row>
    <row r="19">
      <c r="A19" t="inlineStr">
        <is>
          <t>Negative - Borderline</t>
        </is>
      </c>
      <c r="B19" s="4" t="n">
        <v>250000000</v>
      </c>
      <c r="C19" t="inlineStr">
        <is>
          <t>65% prob</t>
        </is>
      </c>
    </row>
    <row r="21">
      <c r="A21" s="15" t="inlineStr">
        <is>
          <t>KEY ASSUMPTIONS</t>
        </is>
      </c>
    </row>
    <row r="22">
      <c r="A22" t="inlineStr">
        <is>
          <t>LBRX Phase 3 Success Probability</t>
        </is>
      </c>
      <c r="B22" t="inlineStr">
        <is>
          <t>55%</t>
        </is>
      </c>
    </row>
    <row r="23">
      <c r="A23" t="inlineStr">
        <is>
          <t>Evecxia Phase 2 Success Probability</t>
        </is>
      </c>
      <c r="B23" t="inlineStr">
        <is>
          <t>35%</t>
        </is>
      </c>
    </row>
    <row r="24">
      <c r="A24" t="inlineStr">
        <is>
          <t>LBRX Total Shares Outstanding</t>
        </is>
      </c>
      <c r="B24" t="inlineStr">
        <is>
          <t>30M shares</t>
        </is>
      </c>
    </row>
    <row r="25">
      <c r="A25" t="inlineStr">
        <is>
          <t>Evecxia Total Shares at Readout</t>
        </is>
      </c>
      <c r="B25" t="inlineStr">
        <is>
          <t>365M shares</t>
        </is>
      </c>
    </row>
    <row r="26">
      <c r="A26" t="inlineStr">
        <is>
          <t>Evecxia IPO Valuation (2027)</t>
        </is>
      </c>
      <c r="B26" t="inlineStr">
        <is>
          <t>$180M</t>
        </is>
      </c>
    </row>
    <row r="27">
      <c r="A27" t="inlineStr">
        <is>
          <t>Lock-Up Price (Mar 2026)</t>
        </is>
      </c>
      <c r="B27" t="inlineStr">
        <is>
          <t>$24.22</t>
        </is>
      </c>
    </row>
  </sheetData>
  <mergeCells count="4">
    <mergeCell ref="A1:C1"/>
    <mergeCell ref="A3:C3"/>
    <mergeCell ref="A21:C21"/>
    <mergeCell ref="A12:C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5" customWidth="1" min="1" max="1"/>
    <col width="60" customWidth="1" min="2" max="2"/>
  </cols>
  <sheetData>
    <row r="1">
      <c r="A1" s="14" t="inlineStr">
        <is>
          <t>SOURCES &amp; METHODOLOGY</t>
        </is>
      </c>
    </row>
    <row r="3">
      <c r="A3" s="15" t="inlineStr">
        <is>
          <t>TAX CODE REFERENCES</t>
        </is>
      </c>
    </row>
    <row r="4">
      <c r="A4" s="16" t="inlineStr">
        <is>
          <t>IRC §1202</t>
        </is>
      </c>
      <c r="B4" s="17" t="inlineStr">
        <is>
          <t>Qualified Small Business Stock (QSBS) exclusion — up to 100% of gain excluded if held &gt; 5 years</t>
        </is>
      </c>
    </row>
    <row r="5">
      <c r="A5" s="16" t="inlineStr">
        <is>
          <t>IRC §1045</t>
        </is>
      </c>
      <c r="B5" s="17" t="inlineStr">
        <is>
          <t>Rollover of gain from QSBS to replacement QSBS within 60 days</t>
        </is>
      </c>
    </row>
    <row r="6">
      <c r="A6" s="16" t="inlineStr">
        <is>
          <t>IRC §1411</t>
        </is>
      </c>
      <c r="B6" s="17" t="inlineStr">
        <is>
          <t>Net Investment Income Tax (NIIT) — 3.8% surtax on investment income</t>
        </is>
      </c>
    </row>
    <row r="7">
      <c r="A7" s="16" t="inlineStr">
        <is>
          <t>IRS Pub 550</t>
        </is>
      </c>
      <c r="B7" s="17" t="inlineStr">
        <is>
          <t>Investment Income and Expenses — guidance on capital gains and QSBS</t>
        </is>
      </c>
    </row>
    <row r="9">
      <c r="A9" s="15" t="inlineStr">
        <is>
          <t>DATA SOURCES</t>
        </is>
      </c>
    </row>
    <row r="10">
      <c r="A10" s="16" t="inlineStr">
        <is>
          <t>LBRX SEC Filings</t>
        </is>
      </c>
      <c r="B10" s="17" t="inlineStr">
        <is>
          <t>IPO prospectus, share count, Series B terms</t>
        </is>
      </c>
    </row>
    <row r="11">
      <c r="A11" s="16" t="inlineStr">
        <is>
          <t>Evecxia Term Sheet</t>
        </is>
      </c>
      <c r="B11" s="17" t="inlineStr">
        <is>
          <t>Series A pricing, share structure, dilution schedule</t>
        </is>
      </c>
    </row>
    <row r="12">
      <c r="A12" s="16" t="inlineStr">
        <is>
          <t>Phase 3 Trial Data</t>
        </is>
      </c>
      <c r="B12" s="17" t="inlineStr">
        <is>
          <t>ClinicalTrials.gov, expected readout timing</t>
        </is>
      </c>
    </row>
    <row r="13">
      <c r="A13" s="16" t="inlineStr">
        <is>
          <t>Comparable Transactions</t>
        </is>
      </c>
      <c r="B13" s="17" t="inlineStr">
        <is>
          <t>Karuna Therapeutics acquisition, Minerva comparables</t>
        </is>
      </c>
    </row>
    <row r="15">
      <c r="A15" s="15" t="inlineStr">
        <is>
          <t>METHODOLOGY</t>
        </is>
      </c>
    </row>
    <row r="16" ht="25" customHeight="1">
      <c r="A16" s="17" t="inlineStr">
        <is>
          <t>• Tax Calculations: Lot-by-lot accounting, separate tax treatment for QSBS vs. non-QSBS shares</t>
        </is>
      </c>
    </row>
    <row r="17" ht="25" customHeight="1">
      <c r="A17" s="17" t="inlineStr">
        <is>
          <t>• QSBS Qualification: 5-year holding period calculated from Series B close date (May 3, 2022)</t>
        </is>
      </c>
    </row>
    <row r="18" ht="25" customHeight="1">
      <c r="A18" s="17" t="inlineStr">
        <is>
          <t>• §1202 Exclusion Cap: Greater of $10M or 10× original basis per IRC §1202(b)</t>
        </is>
      </c>
    </row>
    <row r="19" ht="25" customHeight="1">
      <c r="A19" s="17" t="inlineStr">
        <is>
          <t>• §1045 Rollover: Deferred gain = (Sale proceeds - Basis), tacked holding period for replacement stock</t>
        </is>
      </c>
    </row>
    <row r="20" ht="25" customHeight="1">
      <c r="A20" s="17" t="inlineStr">
        <is>
          <t>• Valuation Scenarios: Based on comparable company analysis and phase-adjusted probabilities</t>
        </is>
      </c>
    </row>
    <row r="21" ht="25" customHeight="1">
      <c r="A21" s="17" t="inlineStr">
        <is>
          <t>• Probability Weights: LBRX Ph3 = 55%, Evecxia Ph2 = 35% (industry benchmarks for CNS trials)</t>
        </is>
      </c>
    </row>
    <row r="24">
      <c r="A24" s="18" t="inlineStr">
        <is>
          <t>DISCLAIMER</t>
        </is>
      </c>
    </row>
    <row r="25" ht="80" customHeight="1">
      <c r="A25" s="19" t="inlineStr">
        <is>
          <t>This analysis is for illustrative and educational purposes only. It does NOT constitute tax, legal, or investment advice.
Tax treatment of QSBS is highly fact-specific and depends on individual circumstances. §1045 rollovers have strict requirements including 60-day windows and replacement stock eligibility. State tax treatment varies by jurisdiction.
Consult a qualified CPA or tax attorney before making investment decisions. Do not rely solely on this model for tax planning.</t>
        </is>
      </c>
    </row>
  </sheetData>
  <mergeCells count="8">
    <mergeCell ref="A20:B20"/>
    <mergeCell ref="A21:B21"/>
    <mergeCell ref="A16:B16"/>
    <mergeCell ref="A24:B24"/>
    <mergeCell ref="A25:B25"/>
    <mergeCell ref="A19:B19"/>
    <mergeCell ref="A17:B17"/>
    <mergeCell ref="A18:B1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2026-02-16T14:44:31Z</dcterms:created>
  <dcterms:modified xsi:type="dcterms:W3CDTF">2026-02-16T15:02:36Z</dcterms:modified>
</cp:coreProperties>
</file>