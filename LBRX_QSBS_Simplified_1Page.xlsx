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heetId="1" state="visible" r:id="rId1"/>
    <sheet name="Comps" sheetId="2" state="visible" r:id="rId2"/>
    <sheet name="Citations" sheetId="3" state="visible" r:id="rId3"/>
  </sheets>
  <definedNames/>
  <calcPr calcId="124519" fullCalcOnLoad="1"/>
</workbook>
</file>

<file path=xl/styles.xml><?xml version="1.0" encoding="utf-8"?>
<styleSheet xmlns="http://schemas.openxmlformats.org/spreadsheetml/2006/main">
  <numFmts count="9">
    <numFmt numFmtId="164" formatCode="$#,##0"/>
    <numFmt numFmtId="165" formatCode="$#,##0.00"/>
    <numFmt numFmtId="166" formatCode="yyyy-mm-dd h:mm:ss"/>
    <numFmt numFmtId="167" formatCode="0.0%"/>
    <numFmt numFmtId="168" formatCode="0.00x"/>
    <numFmt numFmtId="169" formatCode="YYYY-MM-DD"/>
    <numFmt numFmtId="170" formatCode="$#,##0.0000"/>
    <numFmt numFmtId="171" formatCode="0.000%"/>
    <numFmt numFmtId="172" formatCode="0.0x"/>
  </numFmts>
  <fonts count="24">
    <font>
      <name val="Calibri"/>
      <family val="2"/>
      <color theme="1"/>
      <sz val="11"/>
      <scheme val="minor"/>
    </font>
    <font>
      <b val="1"/>
      <color rgb="001F4E78"/>
      <sz val="16"/>
    </font>
    <font>
      <i val="1"/>
      <sz val="9"/>
    </font>
    <font>
      <b val="1"/>
      <color rgb="00FFFFFF"/>
      <sz val="12"/>
    </font>
    <font>
      <b val="1"/>
      <color rgb="00FFFFFF"/>
      <sz val="9"/>
    </font>
    <font>
      <b val="1"/>
      <sz val="9"/>
    </font>
    <font>
      <b val="1"/>
      <i val="1"/>
      <sz val="10"/>
    </font>
    <font>
      <b val="1"/>
      <color rgb="001F4E78"/>
      <sz val="14"/>
    </font>
    <font>
      <b val="1"/>
      <color rgb="00FFFFFF"/>
      <sz val="11"/>
    </font>
    <font>
      <b val="1"/>
    </font>
    <font>
      <b val="1"/>
      <i val="1"/>
      <color rgb="00FFFFFF"/>
      <sz val="11"/>
    </font>
    <font>
      <name val="Calibri"/>
      <b val="1"/>
      <color rgb="001F4E79"/>
      <sz val="14"/>
    </font>
    <font>
      <name val="Calibri"/>
      <i val="1"/>
      <color rgb="00666666"/>
      <sz val="10"/>
    </font>
    <font>
      <name val="Calibri"/>
      <b val="1"/>
      <color rgb="001F4E79"/>
      <sz val="11"/>
    </font>
    <font>
      <name val="Calibri"/>
      <sz val="10"/>
    </font>
    <font>
      <name val="Calibri"/>
      <b val="1"/>
      <color rgb="00FFFFFF"/>
      <sz val="10"/>
    </font>
    <font>
      <name val="Calibri"/>
      <b val="1"/>
      <sz val="10"/>
    </font>
    <font>
      <name val="Calibri"/>
      <sz val="9"/>
    </font>
    <font>
      <name val="Calibri"/>
      <i val="1"/>
      <color rgb="00555555"/>
      <sz val="9.5"/>
    </font>
    <font>
      <name val="Calibri"/>
      <b val="1"/>
      <color rgb="00FFFFFF"/>
      <sz val="9.5"/>
    </font>
    <font>
      <name val="Calibri"/>
      <sz val="9.5"/>
    </font>
    <font>
      <name val="Calibri"/>
      <b val="1"/>
      <sz val="9.5"/>
    </font>
    <font>
      <name val="Calibri"/>
      <b val="1"/>
      <color rgb="00333333"/>
      <sz val="10"/>
    </font>
    <font>
      <name val="Calibri"/>
      <i val="1"/>
      <color rgb="00666666"/>
      <sz val="9"/>
    </font>
  </fonts>
  <fills count="10">
    <fill>
      <patternFill/>
    </fill>
    <fill>
      <patternFill patternType="gray125"/>
    </fill>
    <fill>
      <patternFill patternType="solid">
        <fgColor rgb="001F4E78"/>
        <bgColor rgb="001F4E78"/>
      </patternFill>
    </fill>
    <fill>
      <patternFill patternType="solid">
        <fgColor rgb="004472C4"/>
        <bgColor rgb="004472C4"/>
      </patternFill>
    </fill>
    <fill>
      <patternFill patternType="solid">
        <fgColor rgb="00C00000"/>
        <bgColor rgb="00C00000"/>
      </patternFill>
    </fill>
    <fill>
      <patternFill patternType="solid">
        <fgColor rgb="00D6E4F0"/>
        <bgColor rgb="00D6E4F0"/>
      </patternFill>
    </fill>
    <fill>
      <patternFill patternType="solid">
        <fgColor rgb="00FFF2CC"/>
        <bgColor rgb="00FFF2CC"/>
      </patternFill>
    </fill>
    <fill>
      <patternFill patternType="solid">
        <fgColor rgb="001F4E79"/>
        <bgColor rgb="001F4E79"/>
      </patternFill>
    </fill>
    <fill>
      <patternFill patternType="solid">
        <fgColor rgb="00E2EFDA"/>
        <bgColor rgb="00E2EFDA"/>
      </patternFill>
    </fill>
    <fill>
      <patternFill patternType="solid">
        <fgColor rgb="00FCE4EC"/>
        <bgColor rgb="00FCE4EC"/>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6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164" fontId="0" fillId="0" borderId="0" pivotButton="0" quotePrefix="0" xfId="0"/>
    <xf numFmtId="165" fontId="0" fillId="0" borderId="0" pivotButton="0" quotePrefix="0" xfId="0"/>
    <xf numFmtId="3" fontId="0" fillId="0" borderId="0" pivotButton="0" quotePrefix="0" xfId="0"/>
    <xf numFmtId="166" fontId="0" fillId="0" borderId="0" pivotButton="0" quotePrefix="0" xfId="0"/>
    <xf numFmtId="167" fontId="0" fillId="0" borderId="0" pivotButton="0" quotePrefix="0" xfId="0"/>
    <xf numFmtId="0" fontId="4" fillId="3" borderId="0" applyAlignment="1" pivotButton="0" quotePrefix="0" xfId="0">
      <alignment horizontal="center" vertical="center" wrapText="1"/>
    </xf>
    <xf numFmtId="0" fontId="5" fillId="0" borderId="0" pivotButton="0" quotePrefix="0" xfId="0"/>
    <xf numFmtId="168" fontId="0" fillId="0"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8" fillId="3" borderId="0" pivotButton="0" quotePrefix="0" xfId="0"/>
    <xf numFmtId="0" fontId="9" fillId="0" borderId="0" pivotButton="0" quotePrefix="0" xfId="0"/>
    <xf numFmtId="0" fontId="0" fillId="0" borderId="0" applyAlignment="1" pivotButton="0" quotePrefix="0" xfId="0">
      <alignment wrapText="1"/>
    </xf>
    <xf numFmtId="0" fontId="10" fillId="4" borderId="0" pivotButton="0" quotePrefix="0" xfId="0"/>
    <xf numFmtId="0" fontId="2" fillId="0" borderId="0" applyAlignment="1" pivotButton="0" quotePrefix="0" xfId="0">
      <alignment vertical="top" wrapText="1"/>
    </xf>
    <xf numFmtId="0" fontId="11" fillId="0" borderId="0" pivotButton="0" quotePrefix="0" xfId="0"/>
    <xf numFmtId="0" fontId="12" fillId="0" borderId="0" pivotButton="0" quotePrefix="0" xfId="0"/>
    <xf numFmtId="0" fontId="12" fillId="0" borderId="0" applyAlignment="1" pivotButton="0" quotePrefix="0" xfId="0">
      <alignment horizontal="right"/>
    </xf>
    <xf numFmtId="0" fontId="13" fillId="0" borderId="0" pivotButton="0" quotePrefix="0" xfId="0"/>
    <xf numFmtId="0" fontId="14" fillId="5" borderId="1" pivotButton="0" quotePrefix="0" xfId="0"/>
    <xf numFmtId="3" fontId="14" fillId="0" borderId="1" pivotButton="0" quotePrefix="0" xfId="0"/>
    <xf numFmtId="165" fontId="14" fillId="0" borderId="1" pivotButton="0" quotePrefix="0" xfId="0"/>
    <xf numFmtId="4" fontId="14" fillId="0" borderId="1" pivotButton="0" quotePrefix="0" xfId="0"/>
    <xf numFmtId="169" fontId="14" fillId="0" borderId="1" pivotButton="0" quotePrefix="0" xfId="0"/>
    <xf numFmtId="167" fontId="14" fillId="0" borderId="1" pivotButton="0" quotePrefix="0" xfId="0"/>
    <xf numFmtId="0" fontId="14" fillId="6" borderId="1" pivotButton="0" quotePrefix="0" xfId="0"/>
    <xf numFmtId="164" fontId="14" fillId="0" borderId="1" pivotButton="0" quotePrefix="0" xfId="0"/>
    <xf numFmtId="170" fontId="14" fillId="0" borderId="1" pivotButton="0" quotePrefix="0" xfId="0"/>
    <xf numFmtId="171" fontId="14" fillId="0" borderId="1" pivotButton="0" quotePrefix="0" xfId="0"/>
    <xf numFmtId="0" fontId="15" fillId="7" borderId="0" applyAlignment="1" pivotButton="0" quotePrefix="0" xfId="0">
      <alignment horizontal="center"/>
    </xf>
    <xf numFmtId="0" fontId="15" fillId="7" borderId="1" applyAlignment="1" pivotButton="0" quotePrefix="0" xfId="0">
      <alignment horizontal="center"/>
    </xf>
    <xf numFmtId="0" fontId="16" fillId="8" borderId="1" applyAlignment="1" pivotButton="0" quotePrefix="0" xfId="0">
      <alignment horizontal="center"/>
    </xf>
    <xf numFmtId="0" fontId="16" fillId="9" borderId="1" applyAlignment="1" pivotButton="0" quotePrefix="0" xfId="0">
      <alignment horizontal="center"/>
    </xf>
    <xf numFmtId="0" fontId="14" fillId="0" borderId="1" pivotButton="0" quotePrefix="0" xfId="0"/>
    <xf numFmtId="0" fontId="14" fillId="0" borderId="1" applyAlignment="1" pivotButton="0" quotePrefix="0" xfId="0">
      <alignment horizontal="center"/>
    </xf>
    <xf numFmtId="0" fontId="16" fillId="0" borderId="1" pivotButton="0" quotePrefix="0" xfId="0"/>
    <xf numFmtId="164" fontId="16" fillId="0" borderId="1" pivotButton="0" quotePrefix="0" xfId="0"/>
    <xf numFmtId="168" fontId="16" fillId="0" borderId="1" pivotButton="0" quotePrefix="0" xfId="0"/>
    <xf numFmtId="9" fontId="14" fillId="0" borderId="1" pivotButton="0" quotePrefix="0" xfId="0"/>
    <xf numFmtId="0" fontId="16" fillId="5" borderId="1" pivotButton="0" quotePrefix="0" xfId="0"/>
    <xf numFmtId="0" fontId="16" fillId="6" borderId="1" pivotButton="0" quotePrefix="0" xfId="0"/>
    <xf numFmtId="172" fontId="16" fillId="0" borderId="1" pivotButton="0" quotePrefix="0" xfId="0"/>
    <xf numFmtId="0" fontId="17" fillId="0" borderId="0" pivotButton="0" quotePrefix="0" xfId="0"/>
    <xf numFmtId="0" fontId="16" fillId="0" borderId="0" pivotButton="0" quotePrefix="0" xfId="0"/>
    <xf numFmtId="0" fontId="23" fillId="0" borderId="0" pivotButton="0" quotePrefix="0" xfId="0"/>
    <xf numFmtId="0" fontId="18" fillId="0" borderId="0" pivotButton="0" quotePrefix="0" xfId="0"/>
    <xf numFmtId="0" fontId="19" fillId="7" borderId="1" applyAlignment="1" pivotButton="0" quotePrefix="0" xfId="0">
      <alignment horizontal="center" wrapText="1"/>
    </xf>
    <xf numFmtId="0" fontId="20" fillId="0" borderId="1" applyAlignment="1" pivotButton="0" quotePrefix="0" xfId="0">
      <alignment vertical="top" wrapText="1"/>
    </xf>
    <xf numFmtId="0" fontId="21" fillId="8" borderId="1" applyAlignment="1" pivotButton="0" quotePrefix="0" xfId="0">
      <alignment vertical="top" wrapText="1"/>
    </xf>
    <xf numFmtId="0" fontId="21" fillId="9" borderId="1" applyAlignment="1" pivotButton="0" quotePrefix="0" xfId="0">
      <alignment vertical="top" wrapText="1"/>
    </xf>
    <xf numFmtId="0" fontId="22" fillId="8" borderId="0" pivotButton="0" quotePrefix="0" xfId="0"/>
    <xf numFmtId="0" fontId="0" fillId="0" borderId="4" pivotButton="0" quotePrefix="0" xfId="0"/>
    <xf numFmtId="0" fontId="0" fillId="0" borderId="5" pivotButton="0" quotePrefix="0" xfId="0"/>
    <xf numFmtId="0" fontId="22" fillId="9" borderId="0" pivotButton="0" quotePrefix="0" xfId="0"/>
    <xf numFmtId="0" fontId="21" fillId="6" borderId="1" applyAlignment="1" pivotButton="0" quotePrefix="0" xfId="0">
      <alignment vertical="top" wrapText="1"/>
    </xf>
    <xf numFmtId="0" fontId="21" fillId="0" borderId="1" pivotButton="0" quotePrefix="0" xfId="0"/>
    <xf numFmtId="0" fontId="20" fillId="0" borderId="1" applyAlignment="1" pivotButton="0" quotePrefix="0" xfId="0">
      <alignment wrapText="1"/>
    </xf>
    <xf numFmtId="0" fontId="20" fillId="0" borderId="0" applyAlignment="1" pivotButton="0" quotePrefix="0" xfId="0">
      <alignment wrapText="1"/>
    </xf>
    <xf numFmtId="0" fontId="18"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cols>
    <col width="36" customWidth="1" min="1" max="1"/>
    <col width="22" customWidth="1" min="2" max="2"/>
    <col width="22" customWidth="1" min="3" max="3"/>
    <col width="22" customWidth="1" min="4" max="4"/>
    <col width="22" customWidth="1" min="5" max="5"/>
    <col width="14" customWidth="1" min="6" max="6"/>
  </cols>
  <sheetData>
    <row r="1">
      <c r="A1" s="20" t="inlineStr">
        <is>
          <t>LBRX QSBS &amp; Evecxia Investment Analysis</t>
        </is>
      </c>
    </row>
    <row r="2">
      <c r="A2" s="21" t="inlineStr">
        <is>
          <t>Hold LBRX vs. §1045 Rollover to Evecxia — Simplified Scenario Comparison</t>
        </is>
      </c>
      <c r="E2" s="22" t="inlineStr">
        <is>
          <t>February 16, 2026</t>
        </is>
      </c>
    </row>
    <row r="4">
      <c r="A4" s="23" t="inlineStr">
        <is>
          <t>INVESTMENT PARAMETERS</t>
        </is>
      </c>
    </row>
    <row r="5">
      <c r="A5" s="24" t="inlineStr">
        <is>
          <t>Series B Investment ($)</t>
        </is>
      </c>
      <c r="B5" s="25" t="n">
        <v>100000</v>
      </c>
    </row>
    <row r="6">
      <c r="A6" s="24" t="inlineStr">
        <is>
          <t>Series B Price/Share ($)</t>
        </is>
      </c>
      <c r="B6" s="26" t="n">
        <v>24</v>
      </c>
    </row>
    <row r="7">
      <c r="A7" s="24" t="inlineStr">
        <is>
          <t>Shares Acquired</t>
        </is>
      </c>
      <c r="B7" s="27">
        <f>B5/B6</f>
        <v/>
      </c>
    </row>
    <row r="8">
      <c r="A8" s="24" t="inlineStr">
        <is>
          <t>Investment Date</t>
        </is>
      </c>
      <c r="B8" s="28" t="n">
        <v>44684</v>
      </c>
    </row>
    <row r="9">
      <c r="A9" s="24" t="inlineStr">
        <is>
          <t>QSBS 5-Year Date</t>
        </is>
      </c>
      <c r="B9" s="28">
        <f>B8+1826</f>
        <v/>
      </c>
    </row>
    <row r="11">
      <c r="A11" s="23" t="inlineStr">
        <is>
          <t>TAX RATES</t>
        </is>
      </c>
    </row>
    <row r="12">
      <c r="A12" s="24" t="inlineStr">
        <is>
          <t>Federal LTCG + NIIT Rate</t>
        </is>
      </c>
      <c r="B12" s="29" t="n">
        <v>0.238</v>
      </c>
    </row>
    <row r="13">
      <c r="A13" s="24" t="inlineStr">
        <is>
          <t>State Tax Rate</t>
        </is>
      </c>
      <c r="B13" s="29" t="n">
        <v>0</v>
      </c>
    </row>
    <row r="14">
      <c r="A14" s="24" t="inlineStr">
        <is>
          <t>Combined Tax Rate</t>
        </is>
      </c>
      <c r="B14" s="29">
        <f>B12+B13</f>
        <v/>
      </c>
    </row>
    <row r="16">
      <c r="A16" s="23" t="inlineStr">
        <is>
          <t>§1045 ROLLOVER TO EVECXIA</t>
        </is>
      </c>
    </row>
    <row r="17">
      <c r="A17" s="30" t="inlineStr">
        <is>
          <t>LBRX Lock-Up Sale Price</t>
        </is>
      </c>
      <c r="B17" s="26" t="n">
        <v>24.22</v>
      </c>
    </row>
    <row r="18">
      <c r="A18" s="30" t="inlineStr">
        <is>
          <t>LBRX Sale Proceeds (at lock-up)</t>
        </is>
      </c>
      <c r="B18" s="31">
        <f>B17*B7</f>
        <v/>
      </c>
    </row>
    <row r="19">
      <c r="A19" s="30" t="inlineStr">
        <is>
          <t>Evecxia Share Price (Series A)</t>
        </is>
      </c>
      <c r="B19" s="32" t="n">
        <v>0.1069</v>
      </c>
    </row>
    <row r="20">
      <c r="A20" s="30" t="inlineStr">
        <is>
          <t>Evecxia Shares Acquired</t>
        </is>
      </c>
      <c r="B20" s="25">
        <f>B18/B19</f>
        <v/>
      </c>
    </row>
    <row r="21">
      <c r="A21" s="30" t="inlineStr">
        <is>
          <t>Evecxia Total Shares at Readout (est.)</t>
        </is>
      </c>
      <c r="B21" s="25" t="n">
        <v>365000000</v>
      </c>
    </row>
    <row r="22">
      <c r="A22" s="30" t="inlineStr">
        <is>
          <t>Investor Ownership %</t>
        </is>
      </c>
      <c r="B22" s="33">
        <f>B20/B21</f>
        <v/>
      </c>
    </row>
    <row r="24">
      <c r="A24" s="23" t="inlineStr">
        <is>
          <t>SCENARIO COMPARISON</t>
        </is>
      </c>
    </row>
    <row r="25">
      <c r="B25" s="34" t="inlineStr">
        <is>
          <t>PATH A: HOLD LBRX</t>
        </is>
      </c>
      <c r="D25" s="34" t="inlineStr">
        <is>
          <t>PATH B: §1045 → EVECXIA</t>
        </is>
      </c>
    </row>
    <row r="26">
      <c r="A26" s="35" t="inlineStr">
        <is>
          <t>Metric</t>
        </is>
      </c>
      <c r="B26" s="36" t="inlineStr">
        <is>
          <t>Ph3 Positive (Base)</t>
        </is>
      </c>
      <c r="C26" s="37" t="inlineStr">
        <is>
          <t>Ph3 Negative (Base)</t>
        </is>
      </c>
      <c r="D26" s="36" t="inlineStr">
        <is>
          <t>Ph2 Positive (Base)</t>
        </is>
      </c>
      <c r="E26" s="37" t="inlineStr">
        <is>
          <t>Ph2 Negative (Base)</t>
        </is>
      </c>
    </row>
    <row r="27">
      <c r="A27" s="38" t="inlineStr">
        <is>
          <t>Sale Date</t>
        </is>
      </c>
      <c r="B27" s="39" t="inlineStr">
        <is>
          <t>Oct 2027 (post-QSBS)</t>
        </is>
      </c>
      <c r="C27" s="39" t="inlineStr">
        <is>
          <t>Oct 2027 (post-QSBS)</t>
        </is>
      </c>
      <c r="D27" s="39" t="inlineStr">
        <is>
          <t>Oct 2027 (post-QSBS)</t>
        </is>
      </c>
      <c r="E27" s="39" t="inlineStr">
        <is>
          <t>Oct 2027 (post-QSBS)</t>
        </is>
      </c>
    </row>
    <row r="28">
      <c r="A28" s="38" t="inlineStr">
        <is>
          <t>Sale Price/Share</t>
        </is>
      </c>
      <c r="B28" s="26">
        <f>Comps!C6</f>
        <v/>
      </c>
      <c r="C28" s="26">
        <f>Comps!C9</f>
        <v/>
      </c>
      <c r="D28" s="32">
        <f>Comps!B15/B21</f>
        <v/>
      </c>
      <c r="E28" s="32">
        <f>Comps!B18/B21</f>
        <v/>
      </c>
    </row>
    <row r="29">
      <c r="A29" s="38" t="inlineStr">
        <is>
          <t>Shares</t>
        </is>
      </c>
      <c r="B29" s="27">
        <f>B7</f>
        <v/>
      </c>
      <c r="C29" s="27">
        <f>B7</f>
        <v/>
      </c>
      <c r="D29" s="25">
        <f>B20</f>
        <v/>
      </c>
      <c r="E29" s="25">
        <f>B20</f>
        <v/>
      </c>
    </row>
    <row r="30">
      <c r="A30" s="38" t="inlineStr">
        <is>
          <t>Gross Proceeds</t>
        </is>
      </c>
      <c r="B30" s="31">
        <f>B28*B29</f>
        <v/>
      </c>
      <c r="C30" s="31">
        <f>C28*C29</f>
        <v/>
      </c>
      <c r="D30" s="31">
        <f>D28*D29</f>
        <v/>
      </c>
      <c r="E30" s="31">
        <f>E28*E29</f>
        <v/>
      </c>
    </row>
    <row r="31">
      <c r="A31" s="38" t="inlineStr">
        <is>
          <t>Cost Basis</t>
        </is>
      </c>
      <c r="B31" s="31">
        <f>B5</f>
        <v/>
      </c>
      <c r="C31" s="31">
        <f>B5</f>
        <v/>
      </c>
      <c r="D31" s="31">
        <f>B5</f>
        <v/>
      </c>
      <c r="E31" s="31">
        <f>B5</f>
        <v/>
      </c>
    </row>
    <row r="32">
      <c r="A32" s="38" t="inlineStr">
        <is>
          <t>Gross Gain</t>
        </is>
      </c>
      <c r="B32" s="31">
        <f>B30-B31</f>
        <v/>
      </c>
      <c r="C32" s="31">
        <f>C30-C31</f>
        <v/>
      </c>
      <c r="D32" s="31">
        <f>D30-D31</f>
        <v/>
      </c>
      <c r="E32" s="31">
        <f>E30-E31</f>
        <v/>
      </c>
    </row>
    <row r="33">
      <c r="A33" s="38" t="inlineStr">
        <is>
          <t>QSBS 5-Year Met?</t>
        </is>
      </c>
      <c r="B33" s="36" t="inlineStr">
        <is>
          <t>YES</t>
        </is>
      </c>
      <c r="C33" s="36" t="inlineStr">
        <is>
          <t>YES</t>
        </is>
      </c>
      <c r="D33" s="36" t="inlineStr">
        <is>
          <t>YES*</t>
        </is>
      </c>
      <c r="E33" s="36" t="inlineStr">
        <is>
          <t>YES*</t>
        </is>
      </c>
    </row>
    <row r="34">
      <c r="A34" s="38" t="inlineStr">
        <is>
          <t>§1202 Exclusion</t>
        </is>
      </c>
      <c r="B34" s="31">
        <f>IF(B32&gt;0,MIN(B32,MAX(10000000,10*B31)),0)</f>
        <v/>
      </c>
      <c r="C34" s="31">
        <f>IF(C32&gt;0,MIN(C32,MAX(10000000,10*C31)),0)</f>
        <v/>
      </c>
      <c r="D34" s="31">
        <f>IF(D32&gt;0,MIN(D32,MAX(10000000,10*D31)),0)</f>
        <v/>
      </c>
      <c r="E34" s="31">
        <f>IF(E32&gt;0,MIN(E32,MAX(10000000,10*E31)),0)</f>
        <v/>
      </c>
    </row>
    <row r="35">
      <c r="A35" s="38" t="inlineStr">
        <is>
          <t>Taxable Gain</t>
        </is>
      </c>
      <c r="B35" s="31">
        <f>MAX(0,B32-B34)</f>
        <v/>
      </c>
      <c r="C35" s="31">
        <f>MAX(0,C32-C34)</f>
        <v/>
      </c>
      <c r="D35" s="31">
        <f>MAX(0,D32-D34)</f>
        <v/>
      </c>
      <c r="E35" s="31">
        <f>MAX(0,E32-E34)</f>
        <v/>
      </c>
    </row>
    <row r="36">
      <c r="A36" s="38" t="inlineStr">
        <is>
          <t>Total Tax</t>
        </is>
      </c>
      <c r="B36" s="31">
        <f>B35*B14</f>
        <v/>
      </c>
      <c r="C36" s="31">
        <f>C35*B14</f>
        <v/>
      </c>
      <c r="D36" s="31">
        <f>D35*B14</f>
        <v/>
      </c>
      <c r="E36" s="31">
        <f>E35*B14</f>
        <v/>
      </c>
    </row>
    <row r="37">
      <c r="A37" s="40" t="inlineStr">
        <is>
          <t>NET AFTER-TAX</t>
        </is>
      </c>
      <c r="B37" s="41">
        <f>B30-B36</f>
        <v/>
      </c>
      <c r="C37" s="41">
        <f>C30-C36</f>
        <v/>
      </c>
      <c r="D37" s="41">
        <f>D30-D36</f>
        <v/>
      </c>
      <c r="E37" s="41">
        <f>E30-E36</f>
        <v/>
      </c>
    </row>
    <row r="38">
      <c r="A38" s="40" t="inlineStr">
        <is>
          <t>MOIC</t>
        </is>
      </c>
      <c r="B38" s="42">
        <f>B37/B31</f>
        <v/>
      </c>
      <c r="C38" s="42">
        <f>C37/C31</f>
        <v/>
      </c>
      <c r="D38" s="42">
        <f>D37/D31</f>
        <v/>
      </c>
      <c r="E38" s="42">
        <f>E37/E31</f>
        <v/>
      </c>
    </row>
    <row r="39">
      <c r="A39" s="38" t="inlineStr">
        <is>
          <t>Effective Tax Rate</t>
        </is>
      </c>
      <c r="B39" s="29">
        <f>IF(B32&gt;0,B36/B32,0)</f>
        <v/>
      </c>
      <c r="C39" s="29">
        <f>IF(C32&gt;0,C36/C32,0)</f>
        <v/>
      </c>
      <c r="D39" s="29">
        <f>IF(D32&gt;0,D36/D32,0)</f>
        <v/>
      </c>
      <c r="E39" s="29">
        <f>IF(E32&gt;0,E36/E32,0)</f>
        <v/>
      </c>
    </row>
    <row r="41">
      <c r="A41" s="23" t="inlineStr">
        <is>
          <t>PROBABILITY-WEIGHTED DECISION ANALYSIS</t>
        </is>
      </c>
    </row>
    <row r="42">
      <c r="A42" s="24" t="inlineStr">
        <is>
          <t>P(LBRX Phase 3 Success)</t>
        </is>
      </c>
      <c r="B42" s="43">
        <f>Comps!B22</f>
        <v/>
      </c>
      <c r="C42" s="21" t="inlineStr">
        <is>
          <t>(industry avg: 50-60%)</t>
        </is>
      </c>
    </row>
    <row r="43">
      <c r="A43" s="30" t="inlineStr">
        <is>
          <t>P(Evecxia Phase 2 Success)</t>
        </is>
      </c>
      <c r="B43" s="43">
        <f>Comps!B23</f>
        <v/>
      </c>
      <c r="C43" s="21" t="inlineStr">
        <is>
          <t>(CNS Phase 2: 30-40%)</t>
        </is>
      </c>
    </row>
    <row r="45">
      <c r="A45" s="44" t="inlineStr">
        <is>
          <t>Path A Expected Value (Hold LBRX)</t>
        </is>
      </c>
      <c r="B45" s="41">
        <f>B42*B37+(1-B42)*C37</f>
        <v/>
      </c>
    </row>
    <row r="46">
      <c r="A46" s="45" t="inlineStr">
        <is>
          <t>Path B Expected Value (§1045→Evecxia)</t>
        </is>
      </c>
      <c r="B46" s="41">
        <f>B43*D37+(1-B43)*E37</f>
        <v/>
      </c>
    </row>
    <row r="48">
      <c r="A48" s="40" t="inlineStr">
        <is>
          <t>ADVANTAGE (Path B - Path A)</t>
        </is>
      </c>
      <c r="B48" s="41">
        <f>B46-B45</f>
        <v/>
      </c>
    </row>
    <row r="49">
      <c r="A49" s="40" t="inlineStr">
        <is>
          <t>Path B Multiple of Path A</t>
        </is>
      </c>
      <c r="B49" s="46">
        <f>IF(B45&gt;0,B46/B45,"N/A")</f>
        <v/>
      </c>
    </row>
    <row r="51">
      <c r="A51" s="23" t="inlineStr">
        <is>
          <t>KEY INSIGHTS &amp; RECOMMENDATION</t>
        </is>
      </c>
    </row>
    <row r="52" ht="30" customHeight="1">
      <c r="A52" s="47" t="inlineStr">
        <is>
          <t>QSBS Timing: 5-year threshold met May 3, 2027. Both Phase 3 (Oct 2027) and Evecxia Phase 2 (Oct 2027) readouts fall AFTER this date → §1202 exclusion available for both paths.</t>
        </is>
      </c>
    </row>
    <row r="53" ht="30" customHeight="1">
      <c r="A53" s="47" t="inlineStr">
        <is>
          <t>Tax Efficiency: Both paths achieve 0% effective tax rate through §1202 exclusion (gains well under $10M cap). Lock-up sale in March 2026 would NOT qualify → 23.8% tax.</t>
        </is>
      </c>
    </row>
    <row r="54" ht="30" customHeight="1">
      <c r="A54" s="47" t="inlineStr">
        <is>
          <t>Evecxia Upside: §1045 rollover converts LBRX position into early-stage Evecxia equity at Series A pricing ($0.11/share). At Phase 2 positive base case ($1.5B), this generates ~38x MOIC vs ~4x for LBRX Phase 3 positive.</t>
        </is>
      </c>
    </row>
    <row r="55" ht="30" customHeight="1">
      <c r="A55" s="47" t="inlineStr">
        <is>
          <t>Downside Protection: Even in Evecxia Ph2 negative scenario ($120M), the ~3x MOIC rivals the LBRX Phase 3 positive base case, while LBRX Phase 3 failure yields ~0.3x (capital loss).</t>
        </is>
      </c>
    </row>
    <row r="56" ht="30" customHeight="1">
      <c r="A56" s="47" t="inlineStr">
        <is>
          <t>Probability-Weighted: Evecxia pathway expected value exceeds LBRX hold despite lower clinical probability (35% vs 55%) due to magnitude of value inflection at Series A entry.</t>
        </is>
      </c>
    </row>
    <row r="57" ht="30" customHeight="1">
      <c r="A57" s="47" t="inlineStr">
        <is>
          <t>§1045 Mechanics: Sell LBRX at lock-up → reinvest proceeds into Evecxia QSBS within 60 days → holding period tacks from original Series B date (May 2022) → §1202 exclusion at exit.</t>
        </is>
      </c>
    </row>
    <row r="58" ht="30" customHeight="1">
      <c r="A58" s="47" t="inlineStr">
        <is>
          <t>*Evecxia QSBS status via §1045 tacking from original Series B holding period.</t>
        </is>
      </c>
    </row>
    <row r="60" ht="30" customHeight="1">
      <c r="A60" s="48" t="inlineStr">
        <is>
          <t>RECOMMENDATION: §1045 rollover to Evecxia offers superior risk-adjusted expected value. The asymmetric upside at Series A entry pricing more than compensates for Evecxia's lower Phase 2 success probability vs. LBRX Phase 3.</t>
        </is>
      </c>
    </row>
    <row r="62">
      <c r="A62" s="21" t="inlineStr">
        <is>
          <t>DISCLAIMER: For illustrative and educational purposes only. Consult a qualified CPA or tax attorney before making investment or tax decisions.</t>
        </is>
      </c>
    </row>
  </sheetData>
  <mergeCells count="17">
    <mergeCell ref="A4:B4"/>
    <mergeCell ref="A53:E53"/>
    <mergeCell ref="A55:E55"/>
    <mergeCell ref="D25:E25"/>
    <mergeCell ref="A16:B16"/>
    <mergeCell ref="A62:E62"/>
    <mergeCell ref="A57:E57"/>
    <mergeCell ref="A24:E24"/>
    <mergeCell ref="B25:C25"/>
    <mergeCell ref="A54:E54"/>
    <mergeCell ref="A52:E52"/>
    <mergeCell ref="A11:B11"/>
    <mergeCell ref="A60:E60"/>
    <mergeCell ref="A41:E41"/>
    <mergeCell ref="A51:E51"/>
    <mergeCell ref="A58:E58"/>
    <mergeCell ref="A56:E5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5" customWidth="1" min="1" max="1"/>
    <col width="20" customWidth="1" min="2" max="2"/>
    <col width="15" customWidth="1" min="3" max="3"/>
    <col width="50" customWidth="1" min="4" max="4"/>
  </cols>
  <sheetData>
    <row r="1">
      <c r="A1" s="14" t="inlineStr">
        <is>
          <t>COMPARABLE VALUATIONS &amp; ASSUMPTIONS</t>
        </is>
      </c>
    </row>
    <row r="3">
      <c r="A3" s="15" t="inlineStr">
        <is>
          <t>LBRX POST-PHASE 3 SCENARIOS</t>
        </is>
      </c>
    </row>
    <row r="4">
      <c r="A4" s="16" t="inlineStr">
        <is>
          <t>Scenario</t>
        </is>
      </c>
      <c r="B4" s="16" t="inlineStr">
        <is>
          <t>Market Cap</t>
        </is>
      </c>
      <c r="C4" s="16" t="inlineStr">
        <is>
          <t>Price/Share</t>
        </is>
      </c>
      <c r="D4" s="48" t="inlineStr">
        <is>
          <t>Comparable Basis</t>
        </is>
      </c>
    </row>
    <row r="5">
      <c r="A5" t="inlineStr">
        <is>
          <t>Positive - Conservative</t>
        </is>
      </c>
      <c r="B5" s="4" t="n">
        <v>1500000000</v>
      </c>
      <c r="C5" s="5" t="n">
        <v>50</v>
      </c>
      <c r="D5" s="49" t="inlineStr">
        <is>
          <t>Comp: ITCI post-Ph3 trajectory ($530M→$850M→$14.6B)</t>
        </is>
      </c>
    </row>
    <row r="6">
      <c r="A6" t="inlineStr">
        <is>
          <t>Positive - Base Case</t>
        </is>
      </c>
      <c r="B6" s="4" t="n">
        <v>3000000000</v>
      </c>
      <c r="C6" s="5" t="n">
        <v>100</v>
      </c>
      <c r="D6" s="49" t="inlineStr">
        <is>
          <t>Comp: Karuna pre-Ph3 range ($3.0-3.5B)</t>
        </is>
      </c>
    </row>
    <row r="7">
      <c r="A7" t="inlineStr">
        <is>
          <t>Positive - Karuna-style</t>
        </is>
      </c>
      <c r="B7" s="4" t="n">
        <v>5000000000</v>
      </c>
      <c r="C7" s="5" t="n">
        <v>165</v>
      </c>
      <c r="D7" s="49" t="inlineStr">
        <is>
          <t>Comp: Karuna post-EMERGENT-2 (~$5B)</t>
        </is>
      </c>
    </row>
    <row r="8">
      <c r="A8" t="inlineStr">
        <is>
          <t>Negative - Wipeout</t>
        </is>
      </c>
      <c r="B8" s="4" t="n">
        <v>100000000</v>
      </c>
      <c r="C8" s="5" t="n">
        <v>3.3</v>
      </c>
      <c r="D8" s="49" t="inlineStr">
        <is>
          <t>Comp: Minerva post-Ph3 failure (~$50-70M)</t>
        </is>
      </c>
    </row>
    <row r="9">
      <c r="A9" t="inlineStr">
        <is>
          <t>Negative - Cash Floor</t>
        </is>
      </c>
      <c r="B9" s="4" t="n">
        <v>200000000</v>
      </c>
      <c r="C9" s="5" t="n">
        <v>6.6</v>
      </c>
      <c r="D9" s="49" t="inlineStr">
        <is>
          <t>Comp: Cash floor (~$400M cash, discounted for burn)</t>
        </is>
      </c>
    </row>
    <row r="10">
      <c r="A10" t="inlineStr">
        <is>
          <t>Negative - Modest Decline</t>
        </is>
      </c>
      <c r="B10" s="4" t="n">
        <v>350000000</v>
      </c>
      <c r="C10" s="5" t="n">
        <v>11.5</v>
      </c>
      <c r="D10" s="49" t="inlineStr">
        <is>
          <t>Comp: Modest failure with intact backup pipeline</t>
        </is>
      </c>
    </row>
    <row r="12">
      <c r="A12" s="15" t="inlineStr">
        <is>
          <t>EVECXIA POST-PHASE 2 SCENARIOS</t>
        </is>
      </c>
    </row>
    <row r="13">
      <c r="A13" s="16" t="inlineStr">
        <is>
          <t>Scenario</t>
        </is>
      </c>
      <c r="B13" s="16" t="inlineStr">
        <is>
          <t>Valuation</t>
        </is>
      </c>
      <c r="C13" s="16" t="inlineStr">
        <is>
          <t>Probability</t>
        </is>
      </c>
      <c r="D13" s="48" t="inlineStr">
        <is>
          <t>Comparable Basis</t>
        </is>
      </c>
    </row>
    <row r="14">
      <c r="A14" t="inlineStr">
        <is>
          <t>Positive - Modest</t>
        </is>
      </c>
      <c r="B14" s="4" t="n">
        <v>800000000</v>
      </c>
      <c r="C14" t="n">
        <v>0.35</v>
      </c>
      <c r="D14" s="49" t="inlineStr">
        <is>
          <t>Comp: Below Karuna Ph2 ($2B) — private discount + smaller market</t>
        </is>
      </c>
    </row>
    <row r="15">
      <c r="A15" t="inlineStr">
        <is>
          <t>Positive - Strong (Karuna-like)</t>
        </is>
      </c>
      <c r="B15" s="4" t="n">
        <v>1500000000</v>
      </c>
      <c r="C15" t="n">
        <v>0.35</v>
      </c>
      <c r="D15" s="49" t="inlineStr">
        <is>
          <t>Comp: Karuna Ph2 ($2B) with ~25% discount</t>
        </is>
      </c>
    </row>
    <row r="16">
      <c r="A16" t="inlineStr">
        <is>
          <t>Positive - Blowout + M&amp;A</t>
        </is>
      </c>
      <c r="B16" s="4" t="n">
        <v>3000000000</v>
      </c>
      <c r="C16" t="n">
        <v>0.35</v>
      </c>
      <c r="D16" s="49" t="inlineStr">
        <is>
          <t>Comp: Cerevel acquisition ($8.7B) — requires M&amp;A premium</t>
        </is>
      </c>
    </row>
    <row r="17">
      <c r="A17" t="inlineStr">
        <is>
          <t>Negative - Wipeout</t>
        </is>
      </c>
      <c r="B17" s="4" t="n">
        <v>50000000</v>
      </c>
      <c r="C17" t="n">
        <v>0.65</v>
      </c>
      <c r="D17" s="49" t="inlineStr">
        <is>
          <t>Floor: cash + minimal residual IP value</t>
        </is>
      </c>
    </row>
    <row r="18">
      <c r="A18" t="inlineStr">
        <is>
          <t>Negative - Platform Value</t>
        </is>
      </c>
      <c r="B18" s="4" t="n">
        <v>120000000</v>
      </c>
      <c r="C18" t="n">
        <v>0.65</v>
      </c>
      <c r="D18" s="49" t="inlineStr">
        <is>
          <t>Failed primary but platform/pipeline retains value</t>
        </is>
      </c>
    </row>
    <row r="19">
      <c r="A19" t="inlineStr">
        <is>
          <t>Negative - Borderline</t>
        </is>
      </c>
      <c r="B19" s="4" t="n">
        <v>250000000</v>
      </c>
      <c r="C19" t="n">
        <v>0.65</v>
      </c>
      <c r="D19" s="49" t="inlineStr">
        <is>
          <t>Borderline miss — company remains fundable</t>
        </is>
      </c>
    </row>
    <row r="21">
      <c r="A21" s="15" t="inlineStr">
        <is>
          <t>KEY ASSUMPTIONS</t>
        </is>
      </c>
    </row>
    <row r="22">
      <c r="A22" t="inlineStr">
        <is>
          <t>LBRX Phase 3 Success Probability</t>
        </is>
      </c>
      <c r="B22" t="n">
        <v>0.55</v>
      </c>
    </row>
    <row r="23">
      <c r="A23" t="inlineStr">
        <is>
          <t>Evecxia Phase 2 Success Probability</t>
        </is>
      </c>
      <c r="B23" t="n">
        <v>0.35</v>
      </c>
    </row>
    <row r="24">
      <c r="A24" t="inlineStr">
        <is>
          <t>LBRX Total Shares Outstanding</t>
        </is>
      </c>
      <c r="B24" t="inlineStr">
        <is>
          <t>30M shares</t>
        </is>
      </c>
    </row>
    <row r="25">
      <c r="A25" t="inlineStr">
        <is>
          <t>Evecxia Total Shares at Readout</t>
        </is>
      </c>
      <c r="B25" t="inlineStr">
        <is>
          <t>365M shares</t>
        </is>
      </c>
    </row>
    <row r="26">
      <c r="A26" t="inlineStr">
        <is>
          <t>Evecxia IPO Valuation (2027)</t>
        </is>
      </c>
      <c r="B26" t="inlineStr">
        <is>
          <t>$180M</t>
        </is>
      </c>
    </row>
    <row r="27">
      <c r="A27" t="inlineStr">
        <is>
          <t>Lock-Up Price (Mar 2026)</t>
        </is>
      </c>
      <c r="B27" t="inlineStr">
        <is>
          <t>$24.22</t>
        </is>
      </c>
    </row>
  </sheetData>
  <mergeCells count="4">
    <mergeCell ref="A1:C1"/>
    <mergeCell ref="A3:C3"/>
    <mergeCell ref="A21:C21"/>
    <mergeCell ref="A12:C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5"/>
  <sheetViews>
    <sheetView workbookViewId="0">
      <selection activeCell="A1" sqref="A1"/>
    </sheetView>
  </sheetViews>
  <sheetFormatPr baseColWidth="8" defaultRowHeight="15"/>
  <cols>
    <col width="32" customWidth="1" min="1" max="1"/>
    <col width="28" customWidth="1" min="2" max="2"/>
    <col width="28" customWidth="1" min="3" max="3"/>
    <col width="22" customWidth="1" min="4" max="4"/>
    <col width="40" customWidth="1" min="5" max="5"/>
  </cols>
  <sheetData>
    <row r="1">
      <c r="A1" s="20" t="inlineStr">
        <is>
          <t>SOURCES, COMPARABLE TRANSACTIONS &amp; SCENARIO JUSTIFICATION</t>
        </is>
      </c>
    </row>
    <row r="3">
      <c r="A3" s="23" t="inlineStr">
        <is>
          <t>COMPARABLE CNS/PSYCHIATRY TRANSACTIONS</t>
        </is>
      </c>
    </row>
    <row r="4">
      <c r="A4" s="50" t="inlineStr">
        <is>
          <t>These transactions anchor the valuation scenarios used in this analysis.</t>
        </is>
      </c>
    </row>
    <row r="6">
      <c r="A6" s="51" t="inlineStr">
        <is>
          <t>Company / Event</t>
        </is>
      </c>
      <c r="B6" s="51" t="inlineStr">
        <is>
          <t>Pre-Event Value</t>
        </is>
      </c>
      <c r="C6" s="51" t="inlineStr">
        <is>
          <t>Post-Event Value</t>
        </is>
      </c>
      <c r="D6" s="51" t="inlineStr">
        <is>
          <t>Change</t>
        </is>
      </c>
      <c r="E6" s="51" t="inlineStr">
        <is>
          <t>Relevance to Model</t>
        </is>
      </c>
    </row>
    <row r="7" ht="55" customHeight="1">
      <c r="A7" s="52" t="inlineStr">
        <is>
          <t>Karuna (KRTX) — Phase 2 positive
Nov 2019, schizophrenia (KarXT)</t>
        </is>
      </c>
      <c r="B7" s="52" t="inlineStr">
        <is>
          <t>~$414M mkt cap</t>
        </is>
      </c>
      <c r="C7" s="52" t="inlineStr">
        <is>
          <t>~$2.0B mkt cap
(+380% in 1 day)</t>
        </is>
      </c>
      <c r="D7" s="53" t="inlineStr">
        <is>
          <t>+380%</t>
        </is>
      </c>
      <c r="E7" s="52" t="inlineStr">
        <is>
          <t>Primary upside comp for Evecxia Ph2+. Novel MOA (muscarinic agonist) drove massive rerating. Evecxia has less novel MOA but targets underserved OCD market.</t>
        </is>
      </c>
    </row>
    <row r="8" ht="55" customHeight="1">
      <c r="A8" s="52" t="inlineStr">
        <is>
          <t>Karuna (KRTX) — Phase 3 positive
Aug 2022 (EMERGENT-2)</t>
        </is>
      </c>
      <c r="B8" s="52" t="inlineStr">
        <is>
          <t>~$3.0-3.5B mkt cap</t>
        </is>
      </c>
      <c r="C8" s="52" t="inlineStr">
        <is>
          <t>~$5.0B+ mkt cap
(+64% in 1 day)</t>
        </is>
      </c>
      <c r="D8" s="53" t="inlineStr">
        <is>
          <t>+64%</t>
        </is>
      </c>
      <c r="E8" s="52" t="inlineStr">
        <is>
          <t>Primary upside comp for LBRX Ph3+. Validates $5B high-end scenario. LBRX LB-102 has differentiated D2/D3/5-HT7 MOA.</t>
        </is>
      </c>
    </row>
    <row r="9" ht="55" customHeight="1">
      <c r="A9" s="52" t="inlineStr">
        <is>
          <t>Karuna (KRTX) — BMS acquisition
Dec 2023, $330/share</t>
        </is>
      </c>
      <c r="B9" s="52" t="inlineStr">
        <is>
          <t>~$9B (pre-rumor)</t>
        </is>
      </c>
      <c r="C9" s="52" t="inlineStr">
        <is>
          <t>$14.0B acquisition</t>
        </is>
      </c>
      <c r="D9" s="53" t="inlineStr">
        <is>
          <t>+53% premium</t>
        </is>
      </c>
      <c r="E9" s="52" t="inlineStr">
        <is>
          <t>Supports M&amp;A premium scenario ($5B high). Post-NDA filing premium; LBRX would need to reach that stage.</t>
        </is>
      </c>
    </row>
    <row r="10" ht="55" customHeight="1">
      <c r="A10" s="52" t="inlineStr">
        <is>
          <t>Intra-Cellular (ITCI) — Ph3 bipolar+
Jul 2019 (lumateperone)</t>
        </is>
      </c>
      <c r="B10" s="52" t="inlineStr">
        <is>
          <t>~$530M mkt cap</t>
        </is>
      </c>
      <c r="C10" s="52" t="inlineStr">
        <is>
          <t>~$850M mkt cap
(+60% in 1 day)</t>
        </is>
      </c>
      <c r="D10" s="53" t="inlineStr">
        <is>
          <t>+60%</t>
        </is>
      </c>
      <c r="E10" s="52" t="inlineStr">
        <is>
          <t>Supports LBRX Ph3+ $1.5B low-end. ITCI had similar pre-data mkt cap to LBRX's current $613M.</t>
        </is>
      </c>
    </row>
    <row r="11" ht="55" customHeight="1">
      <c r="A11" s="52" t="inlineStr">
        <is>
          <t>Intra-Cellular (ITCI) — J&amp;J acquisition
Jan 2025, $132/share</t>
        </is>
      </c>
      <c r="B11" s="52" t="inlineStr">
        <is>
          <t>~$10.5B mkt cap</t>
        </is>
      </c>
      <c r="C11" s="52" t="inlineStr">
        <is>
          <t>$14.6B acquisition</t>
        </is>
      </c>
      <c r="D11" s="53" t="inlineStr">
        <is>
          <t>+39% premium</t>
        </is>
      </c>
      <c r="E11" s="52" t="inlineStr">
        <is>
          <t>Long-term value comp. ITCI grew from $530M to $14.6B over 5.5 years with two FDA approvals + $681M revenue.</t>
        </is>
      </c>
    </row>
    <row r="12" ht="55" customHeight="1">
      <c r="A12" s="52" t="inlineStr">
        <is>
          <t>Cerevel (CERE) — AbbVie acquisition
Dec 2023, Phase 2 stage</t>
        </is>
      </c>
      <c r="B12" s="52" t="inlineStr">
        <is>
          <t>~$5B mkt cap
(pre-rumor)</t>
        </is>
      </c>
      <c r="C12" s="52" t="inlineStr">
        <is>
          <t>$8.7B acquisition</t>
        </is>
      </c>
      <c r="D12" s="53" t="inlineStr">
        <is>
          <t>+73% premium</t>
        </is>
      </c>
      <c r="E12" s="52" t="inlineStr">
        <is>
          <t>Phase 2 acquisition comp. However, lead asset (emraclidine) subsequently FAILED Phase 2 → $3.5B impairment. Cautionary comp.</t>
        </is>
      </c>
    </row>
    <row r="13" ht="55" customHeight="1">
      <c r="A13" s="52" t="inlineStr">
        <is>
          <t>Cerevel/AbbVie — Emraclidine Ph2 failure
Nov 2024</t>
        </is>
      </c>
      <c r="B13" s="52" t="inlineStr">
        <is>
          <t>$8.7B (paid)</t>
        </is>
      </c>
      <c r="C13" s="52" t="inlineStr">
        <is>
          <t>~$5.2B implied
(-$3.5B impairment)</t>
        </is>
      </c>
      <c r="D13" s="54" t="inlineStr">
        <is>
          <t>-40%</t>
        </is>
      </c>
      <c r="E13" s="52" t="inlineStr">
        <is>
          <t>Demonstrates binary Phase 2 risk in CNS. Schizophrenia muscarinic program failed despite positive Phase 1b signals.</t>
        </is>
      </c>
    </row>
    <row r="14" ht="55" customHeight="1">
      <c r="A14" s="52" t="inlineStr">
        <is>
          <t>Minerva (NERV) — Ph3 failure
May 2020 (roluperidone)</t>
        </is>
      </c>
      <c r="B14" s="52" t="inlineStr">
        <is>
          <t>~$350-400M mkt cap</t>
        </is>
      </c>
      <c r="C14" s="52" t="inlineStr">
        <is>
          <t>~$50-70M mkt cap
(-81% to -86%)</t>
        </is>
      </c>
      <c r="D14" s="54" t="inlineStr">
        <is>
          <t>-81% to -86%</t>
        </is>
      </c>
      <c r="E14" s="52" t="inlineStr">
        <is>
          <t>Primary downside comp for LBRX Ph3-. Validates $100M low scenario. Eventually fell to ~$14M before $200M recapitalization.</t>
        </is>
      </c>
    </row>
    <row r="16">
      <c r="A16" s="23" t="inlineStr">
        <is>
          <t>LBRX POST-PHASE 3 SCENARIO JUSTIFICATION</t>
        </is>
      </c>
    </row>
    <row r="18">
      <c r="A18" s="55" t="inlineStr">
        <is>
          <t>LBRX Phase 3 Positive Scenarios</t>
        </is>
      </c>
    </row>
    <row r="19">
      <c r="A19" s="51" t="inlineStr">
        <is>
          <t>Scenario</t>
        </is>
      </c>
      <c r="B19" s="51" t="inlineStr">
        <is>
          <t>Rationale</t>
        </is>
      </c>
      <c r="C19" s="51" t="inlineStr">
        <is>
          <t>Comparable Evidence</t>
        </is>
      </c>
    </row>
    <row r="20" ht="65" customHeight="1">
      <c r="A20" s="53" t="inlineStr">
        <is>
          <t>Low: $1.5B (~$50/share)</t>
        </is>
      </c>
      <c r="B20" s="52" t="inlineStr">
        <is>
          <t>Conservative positive</t>
        </is>
      </c>
      <c r="C20" s="52" t="inlineStr">
        <is>
          <t>Supported by ITCI post-Ph3 bipolar data trajectory ($530M → $850M). Applied to LBRX pre-Ph3 base of $613M with a stronger rerating given schizophrenia market size. Also consistent with analyst consensus target of $44.50/share ($1.3B) BEFORE Phase 3 data.</t>
        </is>
      </c>
      <c r="D20" s="56" t="n"/>
      <c r="E20" s="57" t="n"/>
    </row>
    <row r="21" ht="65" customHeight="1">
      <c r="A21" s="53" t="inlineStr">
        <is>
          <t>Base: $3.0B (~$100/share)</t>
        </is>
      </c>
      <c r="B21" s="52" t="inlineStr">
        <is>
          <t>Strong Phase 3 data + pipeline value</t>
        </is>
      </c>
      <c r="C21" s="52" t="inlineStr">
        <is>
          <t>Supported by Karuna pre-Ph3 trading range ($3.0-3.5B). LBRX LB-102 targets schizophrenia (same market as KarXT) with differentiated D2/D3/5-HT7 mechanism. Strong data would de-risk the asset and attract M&amp;A interest. Also values the bipolar (ILLUMINATE-1) option.</t>
        </is>
      </c>
      <c r="D21" s="56" t="n"/>
      <c r="E21" s="57" t="n"/>
    </row>
    <row r="22" ht="65" customHeight="1">
      <c r="A22" s="53" t="inlineStr">
        <is>
          <t>High: $5.0B (~$165/share)</t>
        </is>
      </c>
      <c r="B22" s="52" t="inlineStr">
        <is>
          <t>Karuna-style M&amp;A premium</t>
        </is>
      </c>
      <c r="C22" s="52" t="inlineStr">
        <is>
          <t>Supported by Karuna post-EMERGENT-2 (~$5B). Requires Karuna-caliber data: robust effect size, clean safety, clear path to NDA. Represents best-case where LB-102 is viewed as best-in-class and attracts acquisition interest from large pharma.</t>
        </is>
      </c>
      <c r="D22" s="56" t="n"/>
      <c r="E22" s="57" t="n"/>
    </row>
    <row r="24">
      <c r="A24" s="58" t="inlineStr">
        <is>
          <t>LBRX Phase 3 Negative Scenarios</t>
        </is>
      </c>
    </row>
    <row r="25">
      <c r="A25" s="51" t="inlineStr">
        <is>
          <t>Scenario</t>
        </is>
      </c>
      <c r="B25" s="51" t="inlineStr">
        <is>
          <t>Rationale</t>
        </is>
      </c>
      <c r="C25" s="51" t="inlineStr">
        <is>
          <t>Comparable Evidence</t>
        </is>
      </c>
    </row>
    <row r="26" ht="65" customHeight="1">
      <c r="A26" s="54" t="inlineStr">
        <is>
          <t>Low: $100M (~$3.30/share)</t>
        </is>
      </c>
      <c r="B26" s="52" t="inlineStr">
        <is>
          <t>Minerva-style wipeout</t>
        </is>
      </c>
      <c r="C26" s="52" t="inlineStr">
        <is>
          <t>Directly supported by Minerva (NERV) post-Ph3 failure: dropped from ~$400M to ~$50-70M (-86%). LBRX $100M assumes mechanism failure with minimal residual pipeline value. Aggressive downside but historically plausible.</t>
        </is>
      </c>
      <c r="D26" s="56" t="n"/>
      <c r="E26" s="57" t="n"/>
    </row>
    <row r="27" ht="65" customHeight="1">
      <c r="A27" s="54" t="inlineStr">
        <is>
          <t>Base: $200M (~$6.60/share)</t>
        </is>
      </c>
      <c r="B27" s="52" t="inlineStr">
        <is>
          <t>Cash floor + option value</t>
        </is>
      </c>
      <c r="C27" s="52" t="inlineStr">
        <is>
          <t>LBRX has ~$400M+ cash (IPO $328M + PIPE $100M - ~$30M burn). Post-failure, stock typically trades at cash value discounted by ongoing burn rate, plus option value of surviving programs (ILLUMINATE-1 bipolar Phase 2). $200M implies ~50% discount to cash.</t>
        </is>
      </c>
      <c r="D27" s="56" t="n"/>
      <c r="E27" s="57" t="n"/>
    </row>
    <row r="28" ht="65" customHeight="1">
      <c r="A28" s="54" t="inlineStr">
        <is>
          <t>High: $350M (~$11.50/share)</t>
        </is>
      </c>
      <c r="B28" s="52" t="inlineStr">
        <is>
          <t>Modest decline, retry potential</t>
        </is>
      </c>
      <c r="C28" s="52" t="inlineStr">
        <is>
          <t>Assumes failure is dose-related or placebo-response issue (common in CNS), not mechanism failure. Company retains cash, bipolar program intact, and market assigns modest probability of Ph3 redesign. Roughly equal to current cash position.</t>
        </is>
      </c>
      <c r="D28" s="56" t="n"/>
      <c r="E28" s="57" t="n"/>
    </row>
    <row r="30">
      <c r="A30" s="23" t="inlineStr">
        <is>
          <t>EVECXIA POST-PHASE 2 SCENARIO JUSTIFICATION</t>
        </is>
      </c>
    </row>
    <row r="32">
      <c r="A32" s="55" t="inlineStr">
        <is>
          <t>Evecxia Phase 2 Positive Scenarios</t>
        </is>
      </c>
    </row>
    <row r="33">
      <c r="A33" s="51" t="inlineStr">
        <is>
          <t>Scenario</t>
        </is>
      </c>
      <c r="B33" s="51" t="inlineStr">
        <is>
          <t>Rationale</t>
        </is>
      </c>
      <c r="C33" s="51" t="inlineStr">
        <is>
          <t>Comparable Evidence</t>
        </is>
      </c>
    </row>
    <row r="34" ht="70" customHeight="1">
      <c r="A34" s="53" t="inlineStr">
        <is>
          <t>Low: $800M</t>
        </is>
      </c>
      <c r="B34" s="52" t="inlineStr">
        <is>
          <t>Modest positive data</t>
        </is>
      </c>
      <c r="C34" s="52" t="inlineStr">
        <is>
          <t>Below Karuna post-Ph2 ($2B) due to: (1) Evecxia is private (30-50% liquidity discount), (2) OCD market smaller than schizophrenia, (3) 5-HTP/carbidopa less novel than KarXT muscarinic MOA. Represents statistically significant but moderate effect size.</t>
        </is>
      </c>
      <c r="D34" s="56" t="n"/>
      <c r="E34" s="57" t="n"/>
    </row>
    <row r="35" ht="70" customHeight="1">
      <c r="A35" s="53" t="inlineStr">
        <is>
          <t>Base: $1.5B</t>
        </is>
      </c>
      <c r="B35" s="52" t="inlineStr">
        <is>
          <t>Strong data validates platform</t>
        </is>
      </c>
      <c r="C35" s="52" t="inlineStr">
        <is>
          <t>Anchored to Karuna post-Ph2 ($2B) with ~25% discount for OCD market size and private status. Assumes robust efficacy in SSRI-inadequate responders with clean safety. Would likely trigger M&amp;A interest or IPO at premium. Also values EVX-301 (IV 5-HTP for suicidal crisis) and depression expansion.</t>
        </is>
      </c>
      <c r="D35" s="56" t="n"/>
      <c r="E35" s="57" t="n"/>
    </row>
    <row r="36" ht="70" customHeight="1">
      <c r="A36" s="53" t="inlineStr">
        <is>
          <t>High: $3.0B</t>
        </is>
      </c>
      <c r="B36" s="52" t="inlineStr">
        <is>
          <t>Blowout data + M&amp;A bidding war</t>
        </is>
      </c>
      <c r="C36" s="52" t="inlineStr">
        <is>
          <t>Requires exceptional circumstances: (1) transformative effect size in OCD, (2) clear signal of platform expansion (depression, PTSD, binge eating), (3) competitive M&amp;A bidding. Comparable to Cerevel pre-acquisition ($8.7B) but Cerevel had broader pipeline. Aggressive but included for scenario completeness.</t>
        </is>
      </c>
      <c r="D36" s="56" t="n"/>
      <c r="E36" s="57" t="n"/>
    </row>
    <row r="38">
      <c r="A38" s="58" t="inlineStr">
        <is>
          <t>Evecxia Phase 2 Negative Scenarios</t>
        </is>
      </c>
    </row>
    <row r="39">
      <c r="A39" s="51" t="inlineStr">
        <is>
          <t>Scenario</t>
        </is>
      </c>
      <c r="B39" s="51" t="inlineStr">
        <is>
          <t>Rationale</t>
        </is>
      </c>
      <c r="C39" s="51" t="inlineStr">
        <is>
          <t>Comparable Evidence</t>
        </is>
      </c>
    </row>
    <row r="40" ht="70" customHeight="1">
      <c r="A40" s="54" t="inlineStr">
        <is>
          <t>Low: $50M</t>
        </is>
      </c>
      <c r="B40" s="52" t="inlineStr">
        <is>
          <t>Near-total wipeout</t>
        </is>
      </c>
      <c r="C40" s="52" t="inlineStr">
        <is>
          <t>Assumes mechanism failure where 5-HTP serotonin amplification does not demonstrate clinical benefit in OCD. Company retains minimal value: cash on hand + depressed option value on EVX-301. Comparable to Minerva's eventual ~$14M nadir, though Evecxia retains private-company optionality.</t>
        </is>
      </c>
      <c r="D40" s="56" t="n"/>
      <c r="E40" s="57" t="n"/>
    </row>
    <row r="41" ht="70" customHeight="1">
      <c r="A41" s="54" t="inlineStr">
        <is>
          <t>Base: $120M</t>
        </is>
      </c>
      <c r="B41" s="52" t="inlineStr">
        <is>
          <t>Failed primary but platform retains value</t>
        </is>
      </c>
      <c r="C41" s="52" t="inlineStr">
        <is>
          <t>Assumes OCD primary endpoint missed but secondary signals or subgroup data suggest potential. EVX-301 (suicidal crisis) retains independent value. Company can pivot to depression indication or reformulate. Represents ~4x pre-Series A value, reflecting invested capital + residual IP.</t>
        </is>
      </c>
      <c r="D41" s="56" t="n"/>
      <c r="E41" s="57" t="n"/>
    </row>
    <row r="42" ht="70" customHeight="1">
      <c r="A42" s="54" t="inlineStr">
        <is>
          <t>High: $250M</t>
        </is>
      </c>
      <c r="B42" s="52" t="inlineStr">
        <is>
          <t>Borderline miss, dose issue, still fundable</t>
        </is>
      </c>
      <c r="C42" s="52" t="inlineStr">
        <is>
          <t>Assumes narrowly missed statistical significance (p=0.06-0.10) with clinically meaningful trends, attributable to dose selection or trial design. Investors retain confidence in mechanism. Comparable to partial-failure biotechs that maintain enough signal to raise additional capital and redesign trials.</t>
        </is>
      </c>
      <c r="D42" s="56" t="n"/>
      <c r="E42" s="57" t="n"/>
    </row>
    <row r="44">
      <c r="A44" s="23" t="inlineStr">
        <is>
          <t>CLINICAL PROBABILITY ASSUMPTIONS</t>
        </is>
      </c>
    </row>
    <row r="46" ht="70" customHeight="1">
      <c r="A46" s="59" t="inlineStr">
        <is>
          <t>P(LBRX Phase 3 Success) = 55%</t>
        </is>
      </c>
      <c r="B46" s="52" t="inlineStr">
        <is>
          <t>Industry CNS Phase 3 average: ~50-55% (BIO 2011-2020 data). LBRX LB-102 has positive Phase 2 data and differentiated MOA (D2/D3/5-HT7), supporting above-average probability. However, schizophrenia trials have high placebo response rates. 55% represents a balanced estimate at the upper end of the industry range.</t>
        </is>
      </c>
      <c r="C46" s="56" t="n"/>
      <c r="D46" s="56" t="n"/>
      <c r="E46" s="57" t="n"/>
    </row>
    <row r="47" ht="70" customHeight="1">
      <c r="A47" s="59" t="inlineStr">
        <is>
          <t>P(Evecxia Phase 2 Success) = 35%</t>
        </is>
      </c>
      <c r="B47" s="52" t="inlineStr">
        <is>
          <t>Industry CNS Phase 2 average: ~24% (lowest of all therapeutic areas per BIO data). Evecxia's 35% estimate is ABOVE average, justified by: (1) 5-HTP is a validated serotonin precursor with established pharmacology, (2) OCD patients with SSRI-inadequate response represent a well-defined, measurable population, (3) Phase 1 safety/target engagement data support mechanism. However, CNS Phase 2 remains inherently risky due to placebo effects and endpoint subjectivity.</t>
        </is>
      </c>
      <c r="C47" s="56" t="n"/>
      <c r="D47" s="56" t="n"/>
      <c r="E47" s="57" t="n"/>
    </row>
    <row r="49">
      <c r="A49" s="23" t="inlineStr">
        <is>
          <t>TAX CODE REFERENCES</t>
        </is>
      </c>
    </row>
    <row r="50" ht="30" customHeight="1">
      <c r="A50" s="60" t="inlineStr">
        <is>
          <t>IRC §1202</t>
        </is>
      </c>
      <c r="B50" s="61" t="inlineStr">
        <is>
          <t>Qualified Small Business Stock (QSBS) exclusion — 100% federal exclusion on gain from QSBS held ≥5 years (post-9/27/2010 acquisitions). Cap: greater of $10M or 10× adjusted basis.</t>
        </is>
      </c>
      <c r="C50" s="56" t="n"/>
      <c r="D50" s="56" t="n"/>
      <c r="E50" s="57" t="n"/>
    </row>
    <row r="51" ht="30" customHeight="1">
      <c r="A51" s="60" t="inlineStr">
        <is>
          <t>IRC §1045</t>
        </is>
      </c>
      <c r="B51" s="61" t="inlineStr">
        <is>
          <t>Rollover of gain from QSBS to replacement QSBS within 60 days of sale. Defers gain recognition; holding period tacks from original acquisition date toward §1202 eligibility.</t>
        </is>
      </c>
      <c r="C51" s="56" t="n"/>
      <c r="D51" s="56" t="n"/>
      <c r="E51" s="57" t="n"/>
    </row>
    <row r="52" ht="30" customHeight="1">
      <c r="A52" s="60" t="inlineStr">
        <is>
          <t>IRC §1411</t>
        </is>
      </c>
      <c r="B52" s="61" t="inlineStr">
        <is>
          <t>Net Investment Income Tax (NIIT) — 3.8% surtax on investment income for AGI &gt; $200k/$250k. Applies to capital gains not excluded under §1202.</t>
        </is>
      </c>
      <c r="C52" s="56" t="n"/>
      <c r="D52" s="56" t="n"/>
      <c r="E52" s="57" t="n"/>
    </row>
    <row r="53" ht="30" customHeight="1">
      <c r="A53" s="60" t="inlineStr">
        <is>
          <t>IRS Publication 550</t>
        </is>
      </c>
      <c r="B53" s="61" t="inlineStr">
        <is>
          <t>Investment Income and Expenses — guidance on capital gains, QSBS, and rollover mechanics.</t>
        </is>
      </c>
      <c r="C53" s="56" t="n"/>
      <c r="D53" s="56" t="n"/>
      <c r="E53" s="57" t="n"/>
    </row>
    <row r="55">
      <c r="A55" s="23" t="inlineStr">
        <is>
          <t>DATA SOURCES</t>
        </is>
      </c>
    </row>
    <row r="56" ht="25" customHeight="1">
      <c r="A56" s="60" t="inlineStr">
        <is>
          <t>LBRX Stock / Financials</t>
        </is>
      </c>
      <c r="B56" s="61" t="inlineStr">
        <is>
          <t>Yahoo Finance (LBRX), SEC filings (S-1, 10-Q), Cooley IPO press release</t>
        </is>
      </c>
      <c r="C56" s="56" t="n"/>
      <c r="D56" s="56" t="n"/>
      <c r="E56" s="57" t="n"/>
    </row>
    <row r="57" ht="25" customHeight="1">
      <c r="A57" s="60" t="inlineStr">
        <is>
          <t>LBRX Clinical Pipeline</t>
        </is>
      </c>
      <c r="B57" s="61" t="inlineStr">
        <is>
          <t>ClinicalTrials.gov (LB-102 Phase 3, ILLUMINATE-1), GlobeNewswire corporate releases</t>
        </is>
      </c>
      <c r="C57" s="56" t="n"/>
      <c r="D57" s="56" t="n"/>
      <c r="E57" s="57" t="n"/>
    </row>
    <row r="58" ht="25" customHeight="1">
      <c r="A58" s="60" t="inlineStr">
        <is>
          <t>Evecxia Therapeutics</t>
        </is>
      </c>
      <c r="B58" s="61" t="inlineStr">
        <is>
          <t>Company pipeline page (evecxia.com), BioSpace financing update, BusinessWire Phase 1b dosing announcement</t>
        </is>
      </c>
      <c r="C58" s="56" t="n"/>
      <c r="D58" s="56" t="n"/>
      <c r="E58" s="57" t="n"/>
    </row>
    <row r="59" ht="25" customHeight="1">
      <c r="A59" s="60" t="inlineStr">
        <is>
          <t>Karuna / BMS Acquisition</t>
        </is>
      </c>
      <c r="B59" s="61" t="inlineStr">
        <is>
          <t>BMS press release (Dec 2023), BioPharma Dive, CNBC deal coverage</t>
        </is>
      </c>
      <c r="C59" s="56" t="n"/>
      <c r="D59" s="56" t="n"/>
      <c r="E59" s="57" t="n"/>
    </row>
    <row r="60" ht="25" customHeight="1">
      <c r="A60" s="60" t="inlineStr">
        <is>
          <t>ITCI / J&amp;J Acquisition</t>
        </is>
      </c>
      <c r="B60" s="61" t="inlineStr">
        <is>
          <t>J&amp;J press release (Jan 2025), BioPharma Dive, Nasdaq Phase 3 data coverage</t>
        </is>
      </c>
      <c r="C60" s="56" t="n"/>
      <c r="D60" s="56" t="n"/>
      <c r="E60" s="57" t="n"/>
    </row>
    <row r="61" ht="25" customHeight="1">
      <c r="A61" s="60" t="inlineStr">
        <is>
          <t>Cerevel / AbbVie Acquisition</t>
        </is>
      </c>
      <c r="B61" s="61" t="inlineStr">
        <is>
          <t>AbbVie press releases (acquisition Aug 2024, emraclidine failure Nov 2024), CNBC</t>
        </is>
      </c>
      <c r="C61" s="56" t="n"/>
      <c r="D61" s="56" t="n"/>
      <c r="E61" s="57" t="n"/>
    </row>
    <row r="62" ht="25" customHeight="1">
      <c r="A62" s="60" t="inlineStr">
        <is>
          <t>Minerva Phase 3 Failure</t>
        </is>
      </c>
      <c r="B62" s="61" t="inlineStr">
        <is>
          <t>GlobeNewswire results release (May 2020), Seeking Alpha (-81%), Motley Fool analysis</t>
        </is>
      </c>
      <c r="C62" s="56" t="n"/>
      <c r="D62" s="56" t="n"/>
      <c r="E62" s="57" t="n"/>
    </row>
    <row r="63" ht="25" customHeight="1">
      <c r="A63" s="60" t="inlineStr">
        <is>
          <t>Clinical Success Rates</t>
        </is>
      </c>
      <c r="B63" s="61" t="inlineStr">
        <is>
          <t>BIO Clinical Development Success Rates 2011-2020, CRA International "Golden Decade" report (Sep 2024), PMC/Nature studies</t>
        </is>
      </c>
      <c r="C63" s="56" t="n"/>
      <c r="D63" s="56" t="n"/>
      <c r="E63" s="57" t="n"/>
    </row>
    <row r="65">
      <c r="A65" s="23" t="inlineStr">
        <is>
          <t>METHODOLOGY</t>
        </is>
      </c>
    </row>
    <row r="66" ht="30" customHeight="1">
      <c r="A66" s="62" t="inlineStr">
        <is>
          <t>Tax Calculations: Lot-by-lot accounting. Separate tracking of Series B QSBS basis through IPO conversion, §1045 rollover, and §1202 exclusion.</t>
        </is>
      </c>
    </row>
    <row r="67" ht="30" customHeight="1">
      <c r="A67" s="62" t="inlineStr">
        <is>
          <t>QSBS Qualification: 5-year holding period calculated from original Series B close (May 3, 2022). §1045 tacking preserves holding period for Evecxia replacement stock.</t>
        </is>
      </c>
    </row>
    <row r="68" ht="30" customHeight="1">
      <c r="A68" s="62" t="inlineStr">
        <is>
          <t>§1202 Exclusion Cap: Greater of $10M or 10× original adjusted basis. For $100k investment, cap = $10M (well above all scenario gains).</t>
        </is>
      </c>
    </row>
    <row r="69" ht="30" customHeight="1">
      <c r="A69" s="62" t="inlineStr">
        <is>
          <t>§1045 Rollover: Deferred gain = (LBRX sale proceeds - cost basis). Basis in Evecxia = purchase price - deferred gain. Holding period tacks from original QSBS acquisition.</t>
        </is>
      </c>
    </row>
    <row r="70" ht="30" customHeight="1">
      <c r="A70" s="62" t="inlineStr">
        <is>
          <t>Valuation Scenarios: Based on comparable company transactions in CNS/psychiatry (see table above). Low/Base/High represent 25th/50th/75th percentile outcomes conditional on clinical success or failure.</t>
        </is>
      </c>
    </row>
    <row r="71" ht="30" customHeight="1">
      <c r="A71" s="62" t="inlineStr">
        <is>
          <t>Probability Weights: LBRX Ph3 = 55% (industry CNS Ph3 avg ~50-55%), Evecxia Ph2 = 35% (above CNS Ph2 avg of ~24%, adjusted for program-specific factors).</t>
        </is>
      </c>
    </row>
    <row r="72" ht="30" customHeight="1">
      <c r="A72" s="62" t="inlineStr">
        <is>
          <t>LBRX Shares: ~30M fully diluted (post-IPO 25.3M + PIPE shares + options). Evecxia Shares at Readout: 365M estimated (post-IPO + secondary dilution).</t>
        </is>
      </c>
    </row>
    <row r="74">
      <c r="A74" s="23" t="inlineStr">
        <is>
          <t>DISCLAIMER</t>
        </is>
      </c>
    </row>
    <row r="75" ht="55" customHeight="1">
      <c r="A75" s="63" t="inlineStr">
        <is>
          <t>This analysis is for illustrative and educational purposes only. It does not constitute investment, tax, or legal advice. Comparable transactions cited herein are historical and do not guarantee future outcomes. Clinical trial success rates are statistical averages and individual program outcomes may vary significantly. §1045 rollovers have specific IRS requirements; state tax conformity varies. Consult a qualified CPA or tax attorney before making any investment or tax decisions.</t>
        </is>
      </c>
    </row>
  </sheetData>
  <mergeCells count="48">
    <mergeCell ref="A30:E30"/>
    <mergeCell ref="C41:E41"/>
    <mergeCell ref="A24:E24"/>
    <mergeCell ref="C22:E22"/>
    <mergeCell ref="C40:E40"/>
    <mergeCell ref="A49:E49"/>
    <mergeCell ref="A1:E1"/>
    <mergeCell ref="B51:E51"/>
    <mergeCell ref="C21:E21"/>
    <mergeCell ref="A70:E70"/>
    <mergeCell ref="B63:E63"/>
    <mergeCell ref="A69:E69"/>
    <mergeCell ref="C36:E36"/>
    <mergeCell ref="A65:E65"/>
    <mergeCell ref="C27:E27"/>
    <mergeCell ref="B50:E50"/>
    <mergeCell ref="A16:E16"/>
    <mergeCell ref="B62:E62"/>
    <mergeCell ref="A75:E75"/>
    <mergeCell ref="B47:E47"/>
    <mergeCell ref="B59:E59"/>
    <mergeCell ref="A66:E66"/>
    <mergeCell ref="A74:E74"/>
    <mergeCell ref="B46:E46"/>
    <mergeCell ref="A18:E18"/>
    <mergeCell ref="A3:E3"/>
    <mergeCell ref="A55:E55"/>
    <mergeCell ref="B56:E56"/>
    <mergeCell ref="C28:E28"/>
    <mergeCell ref="B58:E58"/>
    <mergeCell ref="B52:E52"/>
    <mergeCell ref="A71:E71"/>
    <mergeCell ref="A32:E32"/>
    <mergeCell ref="C34:E34"/>
    <mergeCell ref="B60:E60"/>
    <mergeCell ref="C42:E42"/>
    <mergeCell ref="B61:E61"/>
    <mergeCell ref="A4:E4"/>
    <mergeCell ref="B57:E57"/>
    <mergeCell ref="A38:E38"/>
    <mergeCell ref="B53:E53"/>
    <mergeCell ref="A72:E72"/>
    <mergeCell ref="A68:E68"/>
    <mergeCell ref="C26:E26"/>
    <mergeCell ref="C35:E35"/>
    <mergeCell ref="A44:E44"/>
    <mergeCell ref="C20:E20"/>
    <mergeCell ref="A67:E6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2026-02-16T14:44:31Z</dcterms:created>
  <dcterms:modified xsi:type="dcterms:W3CDTF">2026-02-16T15:40:02Z</dcterms:modified>
</cp:coreProperties>
</file>