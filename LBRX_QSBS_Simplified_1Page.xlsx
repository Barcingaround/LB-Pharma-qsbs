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alysis" sheetId="1" state="visible" r:id="rId1"/>
    <sheet name="Comps" sheetId="2" state="visible" r:id="rId2"/>
    <sheet name="Cit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$#,##0"/>
    <numFmt numFmtId="165" formatCode="$#,##0.00"/>
    <numFmt numFmtId="166" formatCode="yyyy-mm-dd h:mm:ss"/>
    <numFmt numFmtId="167" formatCode="0.0%"/>
    <numFmt numFmtId="168" formatCode="0.00x"/>
    <numFmt numFmtId="169" formatCode="YYYY-MM-DD"/>
    <numFmt numFmtId="170" formatCode="$#,##0.0000"/>
    <numFmt numFmtId="171" formatCode="0.000%"/>
    <numFmt numFmtId="172" formatCode="0.0x"/>
  </numFmts>
  <fonts count="18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sz val="9"/>
    </font>
    <font>
      <b val="1"/>
      <color rgb="00FFFFFF"/>
      <sz val="12"/>
    </font>
    <font>
      <b val="1"/>
      <color rgb="00FFFFFF"/>
      <sz val="9"/>
    </font>
    <font>
      <b val="1"/>
      <sz val="9"/>
    </font>
    <font>
      <b val="1"/>
      <i val="1"/>
      <sz val="10"/>
    </font>
    <font>
      <b val="1"/>
      <color rgb="001F4E78"/>
      <sz val="14"/>
    </font>
    <font>
      <b val="1"/>
      <color rgb="00FFFFFF"/>
      <sz val="11"/>
    </font>
    <font>
      <b val="1"/>
    </font>
    <font>
      <b val="1"/>
      <i val="1"/>
      <color rgb="00FFFFFF"/>
      <sz val="11"/>
    </font>
    <font>
      <name val="Calibri"/>
      <b val="1"/>
      <color rgb="001F4E79"/>
      <sz val="14"/>
    </font>
    <font>
      <name val="Calibri"/>
      <i val="1"/>
      <color rgb="00666666"/>
      <sz val="10"/>
    </font>
    <font>
      <name val="Calibri"/>
      <b val="1"/>
      <color rgb="001F4E79"/>
      <sz val="11"/>
    </font>
    <font>
      <name val="Calibri"/>
      <sz val="10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4472C4"/>
        <bgColor rgb="004472C4"/>
      </patternFill>
    </fill>
    <fill>
      <patternFill patternType="solid">
        <fgColor rgb="00C00000"/>
        <bgColor rgb="00C00000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5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3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2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  <xf numFmtId="0" fontId="12" fillId="0" borderId="0" applyAlignment="1" pivotButton="0" quotePrefix="0" xfId="0">
      <alignment horizontal="right"/>
    </xf>
    <xf numFmtId="0" fontId="13" fillId="0" borderId="0" pivotButton="0" quotePrefix="0" xfId="0"/>
    <xf numFmtId="0" fontId="14" fillId="5" borderId="1" pivotButton="0" quotePrefix="0" xfId="0"/>
    <xf numFmtId="3" fontId="14" fillId="0" borderId="1" pivotButton="0" quotePrefix="0" xfId="0"/>
    <xf numFmtId="165" fontId="14" fillId="0" borderId="1" pivotButton="0" quotePrefix="0" xfId="0"/>
    <xf numFmtId="4" fontId="14" fillId="0" borderId="1" pivotButton="0" quotePrefix="0" xfId="0"/>
    <xf numFmtId="169" fontId="14" fillId="0" borderId="1" pivotButton="0" quotePrefix="0" xfId="0"/>
    <xf numFmtId="167" fontId="14" fillId="0" borderId="1" pivotButton="0" quotePrefix="0" xfId="0"/>
    <xf numFmtId="0" fontId="14" fillId="6" borderId="1" pivotButton="0" quotePrefix="0" xfId="0"/>
    <xf numFmtId="164" fontId="14" fillId="0" borderId="1" pivotButton="0" quotePrefix="0" xfId="0"/>
    <xf numFmtId="170" fontId="14" fillId="0" borderId="1" pivotButton="0" quotePrefix="0" xfId="0"/>
    <xf numFmtId="171" fontId="14" fillId="0" borderId="1" pivotButton="0" quotePrefix="0" xfId="0"/>
    <xf numFmtId="0" fontId="15" fillId="7" borderId="0" applyAlignment="1" pivotButton="0" quotePrefix="0" xfId="0">
      <alignment horizontal="center"/>
    </xf>
    <xf numFmtId="0" fontId="15" fillId="7" borderId="1" applyAlignment="1" pivotButton="0" quotePrefix="0" xfId="0">
      <alignment horizontal="center"/>
    </xf>
    <xf numFmtId="0" fontId="16" fillId="8" borderId="1" applyAlignment="1" pivotButton="0" quotePrefix="0" xfId="0">
      <alignment horizontal="center"/>
    </xf>
    <xf numFmtId="0" fontId="16" fillId="9" borderId="1" applyAlignment="1" pivotButton="0" quotePrefix="0" xfId="0">
      <alignment horizontal="center"/>
    </xf>
    <xf numFmtId="0" fontId="14" fillId="0" borderId="1" pivotButton="0" quotePrefix="0" xfId="0"/>
    <xf numFmtId="0" fontId="14" fillId="0" borderId="1" applyAlignment="1" pivotButton="0" quotePrefix="0" xfId="0">
      <alignment horizontal="center"/>
    </xf>
    <xf numFmtId="0" fontId="16" fillId="0" borderId="1" pivotButton="0" quotePrefix="0" xfId="0"/>
    <xf numFmtId="164" fontId="16" fillId="0" borderId="1" pivotButton="0" quotePrefix="0" xfId="0"/>
    <xf numFmtId="168" fontId="16" fillId="0" borderId="1" pivotButton="0" quotePrefix="0" xfId="0"/>
    <xf numFmtId="9" fontId="14" fillId="0" borderId="1" pivotButton="0" quotePrefix="0" xfId="0"/>
    <xf numFmtId="0" fontId="16" fillId="5" borderId="1" pivotButton="0" quotePrefix="0" xfId="0"/>
    <xf numFmtId="0" fontId="16" fillId="6" borderId="1" pivotButton="0" quotePrefix="0" xfId="0"/>
    <xf numFmtId="172" fontId="16" fillId="0" borderId="1" pivotButton="0" quotePrefix="0" xfId="0"/>
    <xf numFmtId="0" fontId="17" fillId="0" borderId="0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2" customWidth="1" min="3" max="3"/>
    <col width="22" customWidth="1" min="4" max="4"/>
    <col width="22" customWidth="1" min="5" max="5"/>
    <col width="14" customWidth="1" min="6" max="6"/>
  </cols>
  <sheetData>
    <row r="1">
      <c r="A1" s="20" t="inlineStr">
        <is>
          <t>LBRX QSBS &amp; Evecxia Investment Analysis</t>
        </is>
      </c>
    </row>
    <row r="2">
      <c r="A2" s="21" t="inlineStr">
        <is>
          <t>Hold LBRX vs. §1045 Rollover to Evecxia — Simplified Scenario Comparison</t>
        </is>
      </c>
      <c r="E2" s="22" t="inlineStr">
        <is>
          <t>February 16, 2026</t>
        </is>
      </c>
    </row>
    <row r="4">
      <c r="A4" s="23" t="inlineStr">
        <is>
          <t>INVESTMENT PARAMETERS</t>
        </is>
      </c>
    </row>
    <row r="5">
      <c r="A5" s="24" t="inlineStr">
        <is>
          <t>Series B Investment ($)</t>
        </is>
      </c>
      <c r="B5" s="25" t="n">
        <v>100000</v>
      </c>
    </row>
    <row r="6">
      <c r="A6" s="24" t="inlineStr">
        <is>
          <t>Series B Price/Share ($)</t>
        </is>
      </c>
      <c r="B6" s="26" t="n">
        <v>24</v>
      </c>
    </row>
    <row r="7">
      <c r="A7" s="24" t="inlineStr">
        <is>
          <t>Shares Acquired</t>
        </is>
      </c>
      <c r="B7" s="27">
        <f>B5/B6</f>
        <v/>
      </c>
    </row>
    <row r="8">
      <c r="A8" s="24" t="inlineStr">
        <is>
          <t>Investment Date</t>
        </is>
      </c>
      <c r="B8" s="28" t="n">
        <v>44684</v>
      </c>
    </row>
    <row r="9">
      <c r="A9" s="24" t="inlineStr">
        <is>
          <t>QSBS 5-Year Date</t>
        </is>
      </c>
      <c r="B9" s="28">
        <f>B8+1826</f>
        <v/>
      </c>
    </row>
    <row r="11">
      <c r="A11" s="23" t="inlineStr">
        <is>
          <t>TAX RATES</t>
        </is>
      </c>
    </row>
    <row r="12">
      <c r="A12" s="24" t="inlineStr">
        <is>
          <t>Federal LTCG + NIIT Rate</t>
        </is>
      </c>
      <c r="B12" s="29" t="n">
        <v>0.238</v>
      </c>
    </row>
    <row r="13">
      <c r="A13" s="24" t="inlineStr">
        <is>
          <t>State Tax Rate</t>
        </is>
      </c>
      <c r="B13" s="29" t="n">
        <v>0</v>
      </c>
    </row>
    <row r="14">
      <c r="A14" s="24" t="inlineStr">
        <is>
          <t>Combined Tax Rate</t>
        </is>
      </c>
      <c r="B14" s="29">
        <f>B12+B13</f>
        <v/>
      </c>
    </row>
    <row r="16">
      <c r="A16" s="23" t="inlineStr">
        <is>
          <t>§1045 ROLLOVER TO EVECXIA</t>
        </is>
      </c>
    </row>
    <row r="17">
      <c r="A17" s="30" t="inlineStr">
        <is>
          <t>LBRX Lock-Up Sale Price</t>
        </is>
      </c>
      <c r="B17" s="26" t="n">
        <v>24.22</v>
      </c>
    </row>
    <row r="18">
      <c r="A18" s="30" t="inlineStr">
        <is>
          <t>LBRX Sale Proceeds (at lock-up)</t>
        </is>
      </c>
      <c r="B18" s="31">
        <f>B17*B7</f>
        <v/>
      </c>
    </row>
    <row r="19">
      <c r="A19" s="30" t="inlineStr">
        <is>
          <t>Evecxia Share Price (Series A)</t>
        </is>
      </c>
      <c r="B19" s="32" t="n">
        <v>0.1069</v>
      </c>
    </row>
    <row r="20">
      <c r="A20" s="30" t="inlineStr">
        <is>
          <t>Evecxia Shares Acquired</t>
        </is>
      </c>
      <c r="B20" s="25">
        <f>B18/B19</f>
        <v/>
      </c>
    </row>
    <row r="21">
      <c r="A21" s="30" t="inlineStr">
        <is>
          <t>Evecxia Total Shares at Readout (est.)</t>
        </is>
      </c>
      <c r="B21" s="25" t="n">
        <v>365000000</v>
      </c>
    </row>
    <row r="22">
      <c r="A22" s="30" t="inlineStr">
        <is>
          <t>Investor Ownership %</t>
        </is>
      </c>
      <c r="B22" s="33">
        <f>B20/B21</f>
        <v/>
      </c>
    </row>
    <row r="24">
      <c r="A24" s="23" t="inlineStr">
        <is>
          <t>SCENARIO COMPARISON</t>
        </is>
      </c>
    </row>
    <row r="25">
      <c r="B25" s="34" t="inlineStr">
        <is>
          <t>PATH A: HOLD LBRX</t>
        </is>
      </c>
      <c r="D25" s="34" t="inlineStr">
        <is>
          <t>PATH B: §1045 → EVECXIA</t>
        </is>
      </c>
    </row>
    <row r="26">
      <c r="A26" s="35" t="inlineStr">
        <is>
          <t>Metric</t>
        </is>
      </c>
      <c r="B26" s="36" t="inlineStr">
        <is>
          <t>Ph3 Positive (Base)</t>
        </is>
      </c>
      <c r="C26" s="37" t="inlineStr">
        <is>
          <t>Ph3 Negative (Base)</t>
        </is>
      </c>
      <c r="D26" s="36" t="inlineStr">
        <is>
          <t>Ph2 Positive (Base)</t>
        </is>
      </c>
      <c r="E26" s="37" t="inlineStr">
        <is>
          <t>Ph2 Negative (Base)</t>
        </is>
      </c>
    </row>
    <row r="27">
      <c r="A27" s="38" t="inlineStr">
        <is>
          <t>Sale Date</t>
        </is>
      </c>
      <c r="B27" s="39" t="inlineStr">
        <is>
          <t>Oct 2027 (post-QSBS)</t>
        </is>
      </c>
      <c r="C27" s="39" t="inlineStr">
        <is>
          <t>Oct 2027 (post-QSBS)</t>
        </is>
      </c>
      <c r="D27" s="39" t="inlineStr">
        <is>
          <t>Oct 2027 (post-QSBS)</t>
        </is>
      </c>
      <c r="E27" s="39" t="inlineStr">
        <is>
          <t>Oct 2027 (post-QSBS)</t>
        </is>
      </c>
    </row>
    <row r="28">
      <c r="A28" s="38" t="inlineStr">
        <is>
          <t>Sale Price/Share</t>
        </is>
      </c>
      <c r="B28" s="26">
        <f>Comps!C6</f>
        <v/>
      </c>
      <c r="C28" s="26">
        <f>Comps!C9</f>
        <v/>
      </c>
      <c r="D28" s="32">
        <f>Comps!B15/B21</f>
        <v/>
      </c>
      <c r="E28" s="32">
        <f>Comps!B18/B21</f>
        <v/>
      </c>
    </row>
    <row r="29">
      <c r="A29" s="38" t="inlineStr">
        <is>
          <t>Shares</t>
        </is>
      </c>
      <c r="B29" s="27">
        <f>B7</f>
        <v/>
      </c>
      <c r="C29" s="27">
        <f>B7</f>
        <v/>
      </c>
      <c r="D29" s="25">
        <f>B20</f>
        <v/>
      </c>
      <c r="E29" s="25">
        <f>B20</f>
        <v/>
      </c>
    </row>
    <row r="30">
      <c r="A30" s="38" t="inlineStr">
        <is>
          <t>Gross Proceeds</t>
        </is>
      </c>
      <c r="B30" s="31">
        <f>B28*B29</f>
        <v/>
      </c>
      <c r="C30" s="31">
        <f>C28*C29</f>
        <v/>
      </c>
      <c r="D30" s="31">
        <f>D28*D29</f>
        <v/>
      </c>
      <c r="E30" s="31">
        <f>E28*E29</f>
        <v/>
      </c>
    </row>
    <row r="31">
      <c r="A31" s="38" t="inlineStr">
        <is>
          <t>Cost Basis</t>
        </is>
      </c>
      <c r="B31" s="31">
        <f>B5</f>
        <v/>
      </c>
      <c r="C31" s="31">
        <f>B5</f>
        <v/>
      </c>
      <c r="D31" s="31">
        <f>B5</f>
        <v/>
      </c>
      <c r="E31" s="31">
        <f>B5</f>
        <v/>
      </c>
    </row>
    <row r="32">
      <c r="A32" s="38" t="inlineStr">
        <is>
          <t>Gross Gain</t>
        </is>
      </c>
      <c r="B32" s="31">
        <f>B30-B31</f>
        <v/>
      </c>
      <c r="C32" s="31">
        <f>C30-C31</f>
        <v/>
      </c>
      <c r="D32" s="31">
        <f>D30-D31</f>
        <v/>
      </c>
      <c r="E32" s="31">
        <f>E30-E31</f>
        <v/>
      </c>
    </row>
    <row r="33">
      <c r="A33" s="38" t="inlineStr">
        <is>
          <t>QSBS 5-Year Met?</t>
        </is>
      </c>
      <c r="B33" s="36" t="inlineStr">
        <is>
          <t>YES</t>
        </is>
      </c>
      <c r="C33" s="36" t="inlineStr">
        <is>
          <t>YES</t>
        </is>
      </c>
      <c r="D33" s="36" t="inlineStr">
        <is>
          <t>YES*</t>
        </is>
      </c>
      <c r="E33" s="36" t="inlineStr">
        <is>
          <t>YES*</t>
        </is>
      </c>
    </row>
    <row r="34">
      <c r="A34" s="38" t="inlineStr">
        <is>
          <t>§1202 Exclusion</t>
        </is>
      </c>
      <c r="B34" s="31">
        <f>IF(B32&gt;0,MIN(B32,MAX(10000000,10*B31)),0)</f>
        <v/>
      </c>
      <c r="C34" s="31">
        <f>IF(C32&gt;0,MIN(C32,MAX(10000000,10*C31)),0)</f>
        <v/>
      </c>
      <c r="D34" s="31">
        <f>IF(D32&gt;0,MIN(D32,MAX(10000000,10*D31)),0)</f>
        <v/>
      </c>
      <c r="E34" s="31">
        <f>IF(E32&gt;0,MIN(E32,MAX(10000000,10*E31)),0)</f>
        <v/>
      </c>
    </row>
    <row r="35">
      <c r="A35" s="38" t="inlineStr">
        <is>
          <t>Taxable Gain</t>
        </is>
      </c>
      <c r="B35" s="31">
        <f>MAX(0,B32-B34)</f>
        <v/>
      </c>
      <c r="C35" s="31">
        <f>MAX(0,C32-C34)</f>
        <v/>
      </c>
      <c r="D35" s="31">
        <f>MAX(0,D32-D34)</f>
        <v/>
      </c>
      <c r="E35" s="31">
        <f>MAX(0,E32-E34)</f>
        <v/>
      </c>
    </row>
    <row r="36">
      <c r="A36" s="38" t="inlineStr">
        <is>
          <t>Total Tax</t>
        </is>
      </c>
      <c r="B36" s="31">
        <f>B35*B14</f>
        <v/>
      </c>
      <c r="C36" s="31">
        <f>C35*B14</f>
        <v/>
      </c>
      <c r="D36" s="31">
        <f>D35*B14</f>
        <v/>
      </c>
      <c r="E36" s="31">
        <f>E35*B14</f>
        <v/>
      </c>
    </row>
    <row r="37">
      <c r="A37" s="40" t="inlineStr">
        <is>
          <t>NET AFTER-TAX</t>
        </is>
      </c>
      <c r="B37" s="41">
        <f>B30-B36</f>
        <v/>
      </c>
      <c r="C37" s="41">
        <f>C30-C36</f>
        <v/>
      </c>
      <c r="D37" s="41">
        <f>D30-D36</f>
        <v/>
      </c>
      <c r="E37" s="41">
        <f>E30-E36</f>
        <v/>
      </c>
    </row>
    <row r="38">
      <c r="A38" s="40" t="inlineStr">
        <is>
          <t>MOIC</t>
        </is>
      </c>
      <c r="B38" s="42">
        <f>B37/B31</f>
        <v/>
      </c>
      <c r="C38" s="42">
        <f>C37/C31</f>
        <v/>
      </c>
      <c r="D38" s="42">
        <f>D37/D31</f>
        <v/>
      </c>
      <c r="E38" s="42">
        <f>E37/E31</f>
        <v/>
      </c>
    </row>
    <row r="39">
      <c r="A39" s="38" t="inlineStr">
        <is>
          <t>Effective Tax Rate</t>
        </is>
      </c>
      <c r="B39" s="29">
        <f>IF(B32&gt;0,B36/B32,0)</f>
        <v/>
      </c>
      <c r="C39" s="29">
        <f>IF(C32&gt;0,C36/C32,0)</f>
        <v/>
      </c>
      <c r="D39" s="29">
        <f>IF(D32&gt;0,D36/D32,0)</f>
        <v/>
      </c>
      <c r="E39" s="29">
        <f>IF(E32&gt;0,E36/E32,0)</f>
        <v/>
      </c>
    </row>
    <row r="41">
      <c r="A41" s="23" t="inlineStr">
        <is>
          <t>PROBABILITY-WEIGHTED DECISION ANALYSIS</t>
        </is>
      </c>
    </row>
    <row r="42">
      <c r="A42" s="24" t="inlineStr">
        <is>
          <t>P(LBRX Phase 3 Success)</t>
        </is>
      </c>
      <c r="B42" s="43">
        <f>Comps!B22</f>
        <v/>
      </c>
      <c r="C42" s="21" t="inlineStr">
        <is>
          <t>(industry avg: 50-60%)</t>
        </is>
      </c>
    </row>
    <row r="43">
      <c r="A43" s="30" t="inlineStr">
        <is>
          <t>P(Evecxia Phase 2 Success)</t>
        </is>
      </c>
      <c r="B43" s="43">
        <f>Comps!B23</f>
        <v/>
      </c>
      <c r="C43" s="21" t="inlineStr">
        <is>
          <t>(CNS Phase 2: 30-40%)</t>
        </is>
      </c>
    </row>
    <row r="45">
      <c r="A45" s="44" t="inlineStr">
        <is>
          <t>Path A Expected Value (Hold LBRX)</t>
        </is>
      </c>
      <c r="B45" s="41">
        <f>B42*B37+(1-B42)*C37</f>
        <v/>
      </c>
    </row>
    <row r="46">
      <c r="A46" s="45" t="inlineStr">
        <is>
          <t>Path B Expected Value (§1045→Evecxia)</t>
        </is>
      </c>
      <c r="B46" s="41">
        <f>B43*D37+(1-B43)*E37</f>
        <v/>
      </c>
    </row>
    <row r="48">
      <c r="A48" s="40" t="inlineStr">
        <is>
          <t>ADVANTAGE (Path B - Path A)</t>
        </is>
      </c>
      <c r="B48" s="41">
        <f>B46-B45</f>
        <v/>
      </c>
    </row>
    <row r="49">
      <c r="A49" s="40" t="inlineStr">
        <is>
          <t>Path B Multiple of Path A</t>
        </is>
      </c>
      <c r="B49" s="46">
        <f>IF(B45&gt;0,B46/B45,"N/A")</f>
        <v/>
      </c>
    </row>
    <row r="51">
      <c r="A51" s="23" t="inlineStr">
        <is>
          <t>KEY INSIGHTS &amp; RECOMMENDATION</t>
        </is>
      </c>
    </row>
    <row r="52" ht="30" customHeight="1">
      <c r="A52" s="47" t="inlineStr">
        <is>
          <t>QSBS Timing: 5-year threshold met May 3, 2027. Both Phase 3 (Oct 2027) and Evecxia Phase 2 (Oct 2027) readouts fall AFTER this date → §1202 exclusion available for both paths.</t>
        </is>
      </c>
    </row>
    <row r="53" ht="30" customHeight="1">
      <c r="A53" s="47" t="inlineStr">
        <is>
          <t>Tax Efficiency: Both paths achieve 0% effective tax rate through §1202 exclusion (gains well under $10M cap). Lock-up sale in March 2026 would NOT qualify → 23.8% tax.</t>
        </is>
      </c>
    </row>
    <row r="54" ht="30" customHeight="1">
      <c r="A54" s="47" t="inlineStr">
        <is>
          <t>Evecxia Upside: §1045 rollover converts LBRX position into early-stage Evecxia equity at Series A pricing ($0.11/share). At Phase 2 positive base case ($1.5B), this generates ~38x MOIC vs ~4x for LBRX Phase 3 positive.</t>
        </is>
      </c>
    </row>
    <row r="55" ht="30" customHeight="1">
      <c r="A55" s="47" t="inlineStr">
        <is>
          <t>Downside Protection: Even in Evecxia Ph2 negative scenario ($120M), the ~3x MOIC rivals the LBRX Phase 3 positive base case, while LBRX Phase 3 failure yields ~0.3x (capital loss).</t>
        </is>
      </c>
    </row>
    <row r="56" ht="30" customHeight="1">
      <c r="A56" s="47" t="inlineStr">
        <is>
          <t>Probability-Weighted: Evecxia pathway expected value exceeds LBRX hold despite lower clinical probability (35% vs 55%) due to magnitude of value inflection at Series A entry.</t>
        </is>
      </c>
    </row>
    <row r="57" ht="30" customHeight="1">
      <c r="A57" s="47" t="inlineStr">
        <is>
          <t>§1045 Mechanics: Sell LBRX at lock-up → reinvest proceeds into Evecxia QSBS within 60 days → holding period tacks from original Series B date (May 2022) → §1202 exclusion at exit.</t>
        </is>
      </c>
    </row>
    <row r="58" ht="30" customHeight="1">
      <c r="A58" s="47" t="inlineStr">
        <is>
          <t>*Evecxia QSBS status via §1045 tacking from original Series B holding period.</t>
        </is>
      </c>
    </row>
    <row r="60" ht="30" customHeight="1">
      <c r="A60" s="48" t="inlineStr">
        <is>
          <t>RECOMMENDATION: §1045 rollover to Evecxia offers superior risk-adjusted expected value. The asymmetric upside at Series A entry pricing more than compensates for Evecxia's lower Phase 2 success probability vs. LBRX Phase 3.</t>
        </is>
      </c>
    </row>
    <row r="62">
      <c r="A62" s="21" t="inlineStr">
        <is>
          <t>DISCLAIMER: For illustrative and educational purposes only. Consult a qualified CPA or tax attorney before making investment or tax decisions.</t>
        </is>
      </c>
    </row>
  </sheetData>
  <mergeCells count="17">
    <mergeCell ref="A4:B4"/>
    <mergeCell ref="D25:E25"/>
    <mergeCell ref="A53:E53"/>
    <mergeCell ref="A55:E55"/>
    <mergeCell ref="A16:B16"/>
    <mergeCell ref="A62:E62"/>
    <mergeCell ref="A57:E57"/>
    <mergeCell ref="A24:E24"/>
    <mergeCell ref="B25:C25"/>
    <mergeCell ref="A54:E54"/>
    <mergeCell ref="A52:E52"/>
    <mergeCell ref="A11:B11"/>
    <mergeCell ref="A60:E60"/>
    <mergeCell ref="A41:E41"/>
    <mergeCell ref="A51:E51"/>
    <mergeCell ref="A58:E58"/>
    <mergeCell ref="A56:E5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</cols>
  <sheetData>
    <row r="1">
      <c r="A1" s="14" t="inlineStr">
        <is>
          <t>COMPARABLE VALUATIONS &amp; ASSUMPTIONS</t>
        </is>
      </c>
    </row>
    <row r="3">
      <c r="A3" s="15" t="inlineStr">
        <is>
          <t>LBRX POST-PHASE 3 SCENARIOS</t>
        </is>
      </c>
    </row>
    <row r="4">
      <c r="A4" s="16" t="inlineStr">
        <is>
          <t>Scenario</t>
        </is>
      </c>
      <c r="B4" s="16" t="inlineStr">
        <is>
          <t>Market Cap</t>
        </is>
      </c>
      <c r="C4" s="16" t="inlineStr">
        <is>
          <t>Price/Share</t>
        </is>
      </c>
    </row>
    <row r="5">
      <c r="A5" t="inlineStr">
        <is>
          <t>Positive - Conservative</t>
        </is>
      </c>
      <c r="B5" s="4" t="n">
        <v>1500000000</v>
      </c>
      <c r="C5" s="5" t="n">
        <v>50</v>
      </c>
    </row>
    <row r="6">
      <c r="A6" t="inlineStr">
        <is>
          <t>Positive - Base Case</t>
        </is>
      </c>
      <c r="B6" s="4" t="n">
        <v>3000000000</v>
      </c>
      <c r="C6" s="5" t="n">
        <v>100</v>
      </c>
    </row>
    <row r="7">
      <c r="A7" t="inlineStr">
        <is>
          <t>Positive - Karuna-style</t>
        </is>
      </c>
      <c r="B7" s="4" t="n">
        <v>5000000000</v>
      </c>
      <c r="C7" s="5" t="n">
        <v>165</v>
      </c>
    </row>
    <row r="8">
      <c r="A8" t="inlineStr">
        <is>
          <t>Negative - Wipeout</t>
        </is>
      </c>
      <c r="B8" s="4" t="n">
        <v>100000000</v>
      </c>
      <c r="C8" s="5" t="n">
        <v>3.3</v>
      </c>
    </row>
    <row r="9">
      <c r="A9" t="inlineStr">
        <is>
          <t>Negative - Cash Floor</t>
        </is>
      </c>
      <c r="B9" s="4" t="n">
        <v>200000000</v>
      </c>
      <c r="C9" s="5" t="n">
        <v>6.6</v>
      </c>
    </row>
    <row r="10">
      <c r="A10" t="inlineStr">
        <is>
          <t>Negative - Modest Decline</t>
        </is>
      </c>
      <c r="B10" s="4" t="n">
        <v>350000000</v>
      </c>
      <c r="C10" s="5" t="n">
        <v>11.5</v>
      </c>
    </row>
    <row r="12">
      <c r="A12" s="15" t="inlineStr">
        <is>
          <t>EVECXIA POST-PHASE 2 SCENARIOS</t>
        </is>
      </c>
    </row>
    <row r="13">
      <c r="A13" s="16" t="inlineStr">
        <is>
          <t>Scenario</t>
        </is>
      </c>
      <c r="B13" s="16" t="inlineStr">
        <is>
          <t>Valuation</t>
        </is>
      </c>
      <c r="C13" s="16" t="inlineStr">
        <is>
          <t>Probability</t>
        </is>
      </c>
    </row>
    <row r="14">
      <c r="A14" t="inlineStr">
        <is>
          <t>Positive - Modest</t>
        </is>
      </c>
      <c r="B14" s="4" t="n">
        <v>800000000</v>
      </c>
      <c r="C14" t="n">
        <v>0.35</v>
      </c>
    </row>
    <row r="15">
      <c r="A15" t="inlineStr">
        <is>
          <t>Positive - Strong (Karuna-like)</t>
        </is>
      </c>
      <c r="B15" s="4" t="n">
        <v>1500000000</v>
      </c>
      <c r="C15" t="n">
        <v>0.35</v>
      </c>
    </row>
    <row r="16">
      <c r="A16" t="inlineStr">
        <is>
          <t>Positive - Blowout + M&amp;A</t>
        </is>
      </c>
      <c r="B16" s="4" t="n">
        <v>3000000000</v>
      </c>
      <c r="C16" t="n">
        <v>0.35</v>
      </c>
    </row>
    <row r="17">
      <c r="A17" t="inlineStr">
        <is>
          <t>Negative - Wipeout</t>
        </is>
      </c>
      <c r="B17" s="4" t="n">
        <v>50000000</v>
      </c>
      <c r="C17" t="n">
        <v>0.65</v>
      </c>
    </row>
    <row r="18">
      <c r="A18" t="inlineStr">
        <is>
          <t>Negative - Platform Value</t>
        </is>
      </c>
      <c r="B18" s="4" t="n">
        <v>120000000</v>
      </c>
      <c r="C18" t="n">
        <v>0.65</v>
      </c>
    </row>
    <row r="19">
      <c r="A19" t="inlineStr">
        <is>
          <t>Negative - Borderline</t>
        </is>
      </c>
      <c r="B19" s="4" t="n">
        <v>250000000</v>
      </c>
      <c r="C19" t="n">
        <v>0.65</v>
      </c>
    </row>
    <row r="21">
      <c r="A21" s="15" t="inlineStr">
        <is>
          <t>KEY ASSUMPTIONS</t>
        </is>
      </c>
    </row>
    <row r="22">
      <c r="A22" t="inlineStr">
        <is>
          <t>LBRX Phase 3 Success Probability</t>
        </is>
      </c>
      <c r="B22" t="n">
        <v>0.55</v>
      </c>
    </row>
    <row r="23">
      <c r="A23" t="inlineStr">
        <is>
          <t>Evecxia Phase 2 Success Probability</t>
        </is>
      </c>
      <c r="B23" t="n">
        <v>0.35</v>
      </c>
    </row>
    <row r="24">
      <c r="A24" t="inlineStr">
        <is>
          <t>LBRX Total Shares Outstanding</t>
        </is>
      </c>
      <c r="B24" t="inlineStr">
        <is>
          <t>30M shares</t>
        </is>
      </c>
    </row>
    <row r="25">
      <c r="A25" t="inlineStr">
        <is>
          <t>Evecxia Total Shares at Readout</t>
        </is>
      </c>
      <c r="B25" t="inlineStr">
        <is>
          <t>365M shares</t>
        </is>
      </c>
    </row>
    <row r="26">
      <c r="A26" t="inlineStr">
        <is>
          <t>Evecxia IPO Valuation (2027)</t>
        </is>
      </c>
      <c r="B26" t="inlineStr">
        <is>
          <t>$180M</t>
        </is>
      </c>
    </row>
    <row r="27">
      <c r="A27" t="inlineStr">
        <is>
          <t>Lock-Up Price (Mar 2026)</t>
        </is>
      </c>
      <c r="B27" t="inlineStr">
        <is>
          <t>$24.22</t>
        </is>
      </c>
    </row>
  </sheetData>
  <mergeCells count="4">
    <mergeCell ref="A1:C1"/>
    <mergeCell ref="A3:C3"/>
    <mergeCell ref="A21:C21"/>
    <mergeCell ref="A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5" customWidth="1" min="1" max="1"/>
    <col width="60" customWidth="1" min="2" max="2"/>
  </cols>
  <sheetData>
    <row r="1">
      <c r="A1" s="14" t="inlineStr">
        <is>
          <t>SOURCES &amp; METHODOLOGY</t>
        </is>
      </c>
    </row>
    <row r="3">
      <c r="A3" s="15" t="inlineStr">
        <is>
          <t>TAX CODE REFERENCES</t>
        </is>
      </c>
    </row>
    <row r="4">
      <c r="A4" s="16" t="inlineStr">
        <is>
          <t>IRC §1202</t>
        </is>
      </c>
      <c r="B4" s="17" t="inlineStr">
        <is>
          <t>Qualified Small Business Stock (QSBS) exclusion — up to 100% of gain excluded if held &gt; 5 years</t>
        </is>
      </c>
    </row>
    <row r="5">
      <c r="A5" s="16" t="inlineStr">
        <is>
          <t>IRC §1045</t>
        </is>
      </c>
      <c r="B5" s="17" t="inlineStr">
        <is>
          <t>Rollover of gain from QSBS to replacement QSBS within 60 days</t>
        </is>
      </c>
    </row>
    <row r="6">
      <c r="A6" s="16" t="inlineStr">
        <is>
          <t>IRC §1411</t>
        </is>
      </c>
      <c r="B6" s="17" t="inlineStr">
        <is>
          <t>Net Investment Income Tax (NIIT) — 3.8% surtax on investment income</t>
        </is>
      </c>
    </row>
    <row r="7">
      <c r="A7" s="16" t="inlineStr">
        <is>
          <t>IRS Pub 550</t>
        </is>
      </c>
      <c r="B7" s="17" t="inlineStr">
        <is>
          <t>Investment Income and Expenses — guidance on capital gains and QSBS</t>
        </is>
      </c>
    </row>
    <row r="9">
      <c r="A9" s="15" t="inlineStr">
        <is>
          <t>DATA SOURCES</t>
        </is>
      </c>
    </row>
    <row r="10">
      <c r="A10" s="16" t="inlineStr">
        <is>
          <t>LBRX SEC Filings</t>
        </is>
      </c>
      <c r="B10" s="17" t="inlineStr">
        <is>
          <t>IPO prospectus, share count, Series B terms</t>
        </is>
      </c>
    </row>
    <row r="11">
      <c r="A11" s="16" t="inlineStr">
        <is>
          <t>Evecxia Term Sheet</t>
        </is>
      </c>
      <c r="B11" s="17" t="inlineStr">
        <is>
          <t>Series A pricing, share structure, dilution schedule</t>
        </is>
      </c>
    </row>
    <row r="12">
      <c r="A12" s="16" t="inlineStr">
        <is>
          <t>Phase 3 Trial Data</t>
        </is>
      </c>
      <c r="B12" s="17" t="inlineStr">
        <is>
          <t>ClinicalTrials.gov, expected readout timing</t>
        </is>
      </c>
    </row>
    <row r="13">
      <c r="A13" s="16" t="inlineStr">
        <is>
          <t>Comparable Transactions</t>
        </is>
      </c>
      <c r="B13" s="17" t="inlineStr">
        <is>
          <t>Karuna Therapeutics acquisition, Minerva comparables</t>
        </is>
      </c>
    </row>
    <row r="15">
      <c r="A15" s="15" t="inlineStr">
        <is>
          <t>METHODOLOGY</t>
        </is>
      </c>
    </row>
    <row r="16" ht="25" customHeight="1">
      <c r="A16" s="17" t="inlineStr">
        <is>
          <t>• Tax Calculations: Lot-by-lot accounting, separate tax treatment for QSBS vs. non-QSBS shares</t>
        </is>
      </c>
    </row>
    <row r="17" ht="25" customHeight="1">
      <c r="A17" s="17" t="inlineStr">
        <is>
          <t>• QSBS Qualification: 5-year holding period calculated from Series B close date (May 3, 2022)</t>
        </is>
      </c>
    </row>
    <row r="18" ht="25" customHeight="1">
      <c r="A18" s="17" t="inlineStr">
        <is>
          <t>• §1202 Exclusion Cap: Greater of $10M or 10× original basis per IRC §1202(b)</t>
        </is>
      </c>
    </row>
    <row r="19" ht="25" customHeight="1">
      <c r="A19" s="17" t="inlineStr">
        <is>
          <t>• §1045 Rollover: Deferred gain = (Sale proceeds - Basis), tacked holding period for replacement stock</t>
        </is>
      </c>
    </row>
    <row r="20" ht="25" customHeight="1">
      <c r="A20" s="17" t="inlineStr">
        <is>
          <t>• Valuation Scenarios: Based on comparable company analysis and phase-adjusted probabilities</t>
        </is>
      </c>
    </row>
    <row r="21" ht="25" customHeight="1">
      <c r="A21" s="17" t="inlineStr">
        <is>
          <t>• Probability Weights: LBRX Ph3 = 55%, Evecxia Ph2 = 35% (industry benchmarks for CNS trials)</t>
        </is>
      </c>
    </row>
    <row r="24">
      <c r="A24" s="18" t="inlineStr">
        <is>
          <t>DISCLAIMER</t>
        </is>
      </c>
    </row>
    <row r="25" ht="80" customHeight="1">
      <c r="A25" s="19" t="inlineStr">
        <is>
          <t>This analysis is for illustrative and educational purposes only. It does NOT constitute tax, legal, or investment advice.
Tax treatment of QSBS is highly fact-specific and depends on individual circumstances. §1045 rollovers have strict requirements including 60-day windows and replacement stock eligibility. State tax treatment varies by jurisdiction.
Consult a qualified CPA or tax attorney before making investment decisions. Do not rely solely on this model for tax planning.</t>
        </is>
      </c>
    </row>
  </sheetData>
  <mergeCells count="8">
    <mergeCell ref="A20:B20"/>
    <mergeCell ref="A21:B21"/>
    <mergeCell ref="A16:B16"/>
    <mergeCell ref="A24:B24"/>
    <mergeCell ref="A25:B25"/>
    <mergeCell ref="A19:B19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2026-02-16T14:44:31Z</dcterms:created>
  <dcterms:modified xsi:type="dcterms:W3CDTF">2026-02-16T15:19:31Z</dcterms:modified>
</cp:coreProperties>
</file>