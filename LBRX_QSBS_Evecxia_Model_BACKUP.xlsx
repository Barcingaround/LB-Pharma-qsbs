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imeline" sheetId="3" state="visible" r:id="rId3"/>
    <sheet name="Comps" sheetId="4" state="visible" r:id="rId4"/>
    <sheet name="Scenarios" sheetId="5" state="visible" r:id="rId5"/>
    <sheet name="TaxLogic" sheetId="6" state="visible" r:id="rId6"/>
    <sheet name="Decision Matrix" sheetId="7" state="visible" r:id="rId7"/>
    <sheet name="Breakeven" sheetId="8" state="visible" r:id="rId8"/>
    <sheet name="Dilution" sheetId="9" state="visible" r:id="rId9"/>
    <sheet name="Outputs" sheetId="10" state="visible" r:id="rId10"/>
    <sheet name="Sources" sheetId="11" state="visible" r:id="rId11"/>
  </sheets>
  <definedNames>
    <definedName name="fed_ltcg_rate">Inputs!$B$5</definedName>
    <definedName name="niit_rate">Inputs!$B$7</definedName>
    <definedName name="eff_fed_rate">Inputs!$B$8</definedName>
    <definedName name="state_rate">Inputs!$B$9</definedName>
    <definedName name="combined_rate">Inputs!$B$10</definedName>
    <definedName name="serb_date">Inputs!$B$14</definedName>
    <definedName name="serb_basis">Inputs!$B$15</definedName>
    <definedName name="serb_shares">Inputs!$B$17</definedName>
    <definedName name="qsbs_5yr_date">Inputs!$B$19</definedName>
    <definedName name="lockup_date">Inputs!$B$41</definedName>
    <definedName name="lockup_price">Inputs!$B$42</definedName>
    <definedName name="ph3_date">Inputs!$B$47</definedName>
    <definedName name="evecxia_ph2_date">Inputs!$B$48</definedName>
    <definedName name="evecxia_price">Inputs!$B$30</definedName>
    <definedName name="evecxia_purchase">Inputs!$B$29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yyyy-mm-dd"/>
    <numFmt numFmtId="166" formatCode="$#,##0"/>
    <numFmt numFmtId="167" formatCode="$#,##0.00"/>
    <numFmt numFmtId="168" formatCode="$#,##0.0000"/>
    <numFmt numFmtId="169" formatCode="0.0x"/>
    <numFmt numFmtId="170" formatCode="0.000%"/>
    <numFmt numFmtId="171" formatCode="$#,##0,,&quot;M&quot;"/>
  </numFmts>
  <fonts count="16">
    <font>
      <name val="Calibri"/>
      <family val="2"/>
      <color theme="1"/>
      <sz val="11"/>
      <scheme val="minor"/>
    </font>
    <font>
      <name val="Calibri"/>
      <color rgb="000000FF"/>
      <sz val="10"/>
    </font>
    <font>
      <name val="Calibri"/>
      <color rgb="00000000"/>
      <sz val="10"/>
    </font>
    <font>
      <name val="Calibri"/>
      <color rgb="00008000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name val="Calibri"/>
      <b val="1"/>
      <sz val="12"/>
    </font>
    <font>
      <name val="Calibri"/>
      <b val="1"/>
      <sz val="10"/>
    </font>
    <font>
      <name val="Calibri"/>
      <sz val="9"/>
    </font>
    <font>
      <name val="Calibri"/>
      <b val="1"/>
      <sz val="11"/>
    </font>
    <font>
      <name val="Calibri"/>
      <sz val="11"/>
    </font>
    <font>
      <b val="1"/>
      <sz val="11"/>
    </font>
    <font>
      <b val="1"/>
      <sz val="12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9">
    <xf numFmtId="0" fontId="0" fillId="0" borderId="0"/>
    <xf numFmtId="0" fontId="1" fillId="2" borderId="1" applyAlignment="1">
      <alignment horizontal="right" vertical="center"/>
    </xf>
    <xf numFmtId="0" fontId="2" fillId="3" borderId="1" applyAlignment="1">
      <alignment horizontal="right" vertical="center"/>
    </xf>
    <xf numFmtId="0" fontId="3" fillId="0" borderId="1" applyAlignment="1">
      <alignment horizontal="right" vertical="center"/>
    </xf>
    <xf numFmtId="0" fontId="4" fillId="4" borderId="2" applyAlignment="1">
      <alignment horizontal="center" vertical="center" wrapText="1"/>
    </xf>
    <xf numFmtId="0" fontId="5" fillId="5" borderId="1" applyAlignment="1">
      <alignment horizontal="left" vertical="center"/>
    </xf>
    <xf numFmtId="166" fontId="6" fillId="0" borderId="1" applyAlignment="1">
      <alignment horizontal="right" vertical="center"/>
    </xf>
    <xf numFmtId="164" fontId="6" fillId="0" borderId="1" applyAlignment="1">
      <alignment horizontal="right" vertical="center"/>
    </xf>
    <xf numFmtId="169" fontId="6" fillId="0" borderId="1" applyAlignment="1">
      <alignment horizontal="right" vertical="center"/>
    </xf>
  </cellStyleXfs>
  <cellXfs count="65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11" fillId="6" borderId="0" pivotButton="0" quotePrefix="0" xfId="0"/>
    <xf numFmtId="0" fontId="12" fillId="0" borderId="0" pivotButton="0" quotePrefix="0" xfId="0"/>
    <xf numFmtId="164" fontId="0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5" fontId="0" fillId="7" borderId="0" applyAlignment="1" pivotButton="0" quotePrefix="0" xfId="0">
      <alignment horizontal="right" vertical="center"/>
    </xf>
    <xf numFmtId="166" fontId="0" fillId="7" borderId="0" applyAlignment="1" pivotButton="0" quotePrefix="0" xfId="0">
      <alignment horizontal="right" vertical="center"/>
    </xf>
    <xf numFmtId="167" fontId="0" fillId="7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8" fontId="0" fillId="7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3" fontId="0" fillId="7" borderId="0" applyAlignment="1" pivotButton="0" quotePrefix="0" xfId="0">
      <alignment horizontal="right" vertical="center"/>
    </xf>
    <xf numFmtId="0" fontId="4" fillId="4" borderId="2" applyAlignment="1" pivotButton="0" quotePrefix="0" xfId="4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  <xf numFmtId="0" fontId="5" fillId="5" borderId="1" applyAlignment="1" pivotButton="0" quotePrefix="0" xfId="5">
      <alignment horizontal="left" vertical="center"/>
    </xf>
    <xf numFmtId="0" fontId="9" fillId="0" borderId="0" pivotButton="0" quotePrefix="0" xfId="0"/>
    <xf numFmtId="165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66" fontId="13" fillId="0" borderId="2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166" fontId="0" fillId="0" borderId="2" applyAlignment="1" pivotButton="0" quotePrefix="0" xfId="0">
      <alignment horizontal="right"/>
    </xf>
    <xf numFmtId="169" fontId="0" fillId="0" borderId="2" applyAlignment="1" pivotButton="0" quotePrefix="0" xfId="0">
      <alignment horizontal="right"/>
    </xf>
    <xf numFmtId="164" fontId="0" fillId="7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5" fontId="0" fillId="7" borderId="0" applyAlignment="1" pivotButton="0" quotePrefix="0" xfId="0">
      <alignment horizontal="right" vertical="center"/>
    </xf>
    <xf numFmtId="166" fontId="0" fillId="7" borderId="0" applyAlignment="1" pivotButton="0" quotePrefix="0" xfId="0">
      <alignment horizontal="right" vertical="center"/>
    </xf>
    <xf numFmtId="167" fontId="0" fillId="7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8" fontId="0" fillId="7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5" fontId="0" fillId="0" borderId="0" pivotButton="0" quotePrefix="0" xfId="0"/>
    <xf numFmtId="165" fontId="0" fillId="0" borderId="2" applyAlignment="1" pivotButton="0" quotePrefix="0" xfId="0">
      <alignment horizontal="right" vertical="center"/>
    </xf>
    <xf numFmtId="167" fontId="0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166" fontId="13" fillId="0" borderId="2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5" fillId="8" borderId="0" pivotButton="0" quotePrefix="0" xfId="0"/>
    <xf numFmtId="164" fontId="0" fillId="0" borderId="0" pivotButton="0" quotePrefix="0" xfId="0"/>
    <xf numFmtId="166" fontId="14" fillId="0" borderId="0" pivotButton="0" quotePrefix="0" xfId="0"/>
    <xf numFmtId="166" fontId="0" fillId="0" borderId="0" pivotButton="0" quotePrefix="0" xfId="0"/>
    <xf numFmtId="170" fontId="0" fillId="0" borderId="0" pivotButton="0" quotePrefix="0" xfId="0"/>
    <xf numFmtId="171" fontId="15" fillId="0" borderId="0" pivotButton="0" quotePrefix="0" xfId="0"/>
    <xf numFmtId="169" fontId="14" fillId="0" borderId="0" pivotButton="0" quotePrefix="0" xfId="0"/>
    <xf numFmtId="0" fontId="5" fillId="8" borderId="2" pivotButton="0" quotePrefix="0" xfId="0"/>
    <xf numFmtId="166" fontId="0" fillId="0" borderId="2" applyAlignment="1" pivotButton="0" quotePrefix="0" xfId="0">
      <alignment horizontal="right"/>
    </xf>
    <xf numFmtId="169" fontId="0" fillId="0" borderId="2" applyAlignment="1" pivotButton="0" quotePrefix="0" xfId="0">
      <alignment horizontal="right"/>
    </xf>
  </cellXfs>
  <cellStyles count="9">
    <cellStyle name="Normal" xfId="0" builtinId="0" hidden="0"/>
    <cellStyle name="ib_input" xfId="1" hidden="0"/>
    <cellStyle name="ib_formula" xfId="2" hidden="0"/>
    <cellStyle name="ib_xref" xfId="3" hidden="0"/>
    <cellStyle name="ib_header" xfId="4" hidden="0"/>
    <cellStyle name="ib_section" xfId="5" hidden="0"/>
    <cellStyle name="ib_currency" xfId="6" hidden="0"/>
    <cellStyle name="ib_pct" xfId="7" hidden="0"/>
    <cellStyle name="ib_moic" xfId="8" hidden="0"/>
  </cellStyles>
  <dxfs count="2"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LBRX QSBS &amp; Evecxia Scenario Model — README</t>
        </is>
      </c>
    </row>
    <row r="2">
      <c r="A2" s="2" t="inlineStr"/>
    </row>
    <row r="3">
      <c r="A3" s="3" t="inlineStr">
        <is>
          <t>WHAT THIS MODEL DOES:</t>
        </is>
      </c>
    </row>
    <row r="4">
      <c r="A4" s="2" t="inlineStr">
        <is>
          <t>This Excel model analyzes tax scenarios for LBRX (LB Pharmaceuticals) Series B/C investors under QSBS rules, including §1202 exclusion and §1045 rollover into Evecxia Therapeutics.</t>
        </is>
      </c>
    </row>
    <row r="5">
      <c r="A5" s="2" t="inlineStr"/>
    </row>
    <row r="6">
      <c r="A6" s="3" t="inlineStr">
        <is>
          <t>HOW TO USE:</t>
        </is>
      </c>
    </row>
    <row r="7">
      <c r="A7" s="4" t="inlineStr">
        <is>
          <t>1. Go to the Inputs tab</t>
        </is>
      </c>
    </row>
    <row r="8">
      <c r="A8" s="2" t="inlineStr">
        <is>
          <t>2. Modify investor-specific assumptions in light yellow cells:</t>
        </is>
      </c>
    </row>
    <row r="9">
      <c r="A9" s="2" t="inlineStr">
        <is>
          <t xml:space="preserve">   - Federal LTCG rate, NIIT, state tax rate (rows 5-9)</t>
        </is>
      </c>
    </row>
    <row r="10">
      <c r="A10" s="2" t="inlineStr">
        <is>
          <t xml:space="preserve">   - Series B cost basis and share price (rows 15-16)</t>
        </is>
      </c>
    </row>
    <row r="11">
      <c r="A11" s="2" t="inlineStr">
        <is>
          <t xml:space="preserve">   - Lock-up price (row 42) — EDITABLE to test different sale prices</t>
        </is>
      </c>
    </row>
    <row r="12">
      <c r="A12" s="2" t="inlineStr">
        <is>
          <t xml:space="preserve">   - Scenario valuations (rows 52-65) — Adjust based on your comp analysis</t>
        </is>
      </c>
    </row>
    <row r="13">
      <c r="A13" s="2" t="inlineStr">
        <is>
          <t>3. Review Scenarios tab for 6 tax outcome scenarios</t>
        </is>
      </c>
    </row>
    <row r="14">
      <c r="A14" s="2" t="inlineStr">
        <is>
          <t>4. Check Decision Matrix for probability-weighted analysis</t>
        </is>
      </c>
    </row>
    <row r="15">
      <c r="A15" s="2" t="inlineStr">
        <is>
          <t>5. Review Outputs dashboard for summary comparison</t>
        </is>
      </c>
    </row>
    <row r="16">
      <c r="A16" s="2" t="inlineStr"/>
    </row>
    <row r="17">
      <c r="A17" s="3" t="inlineStr">
        <is>
          <t>KEY TAX RULES EMBEDDED IN THIS MODEL:</t>
        </is>
      </c>
    </row>
    <row r="18">
      <c r="A18" s="2" t="inlineStr">
        <is>
          <t>• Dilution is not a taxable event; tax = sale proceeds minus basis, lot-by-lot</t>
        </is>
      </c>
    </row>
    <row r="19">
      <c r="A19" s="2" t="inlineStr">
        <is>
          <t>• §1202 requires 5 full years of holding; March 2026 sale of May 2022 stock = no exclusion</t>
        </is>
      </c>
    </row>
    <row r="20">
      <c r="A20" s="2" t="inlineStr">
        <is>
          <t>• Tranches are separate tax lots; Series B QSBS does not blend with Series C non-QSBS</t>
        </is>
      </c>
    </row>
    <row r="21">
      <c r="A21" s="2" t="inlineStr">
        <is>
          <t>• IPO conversion to common does not erase lot identity</t>
        </is>
      </c>
    </row>
    <row r="22">
      <c r="A22" s="2" t="inlineStr">
        <is>
          <t>• §1045 rollover can defer gain and preserve tacked holding period if requirements met</t>
        </is>
      </c>
    </row>
    <row r="23">
      <c r="A23" s="2" t="inlineStr"/>
    </row>
    <row r="24">
      <c r="A24" s="3" t="inlineStr">
        <is>
          <t>IMPORTANT DISCLAIMER:</t>
        </is>
      </c>
    </row>
    <row r="25">
      <c r="A25" s="4" t="inlineStr">
        <is>
          <t>This is an analytical model for illustrative purposes, NOT tax advice.</t>
        </is>
      </c>
    </row>
    <row r="26">
      <c r="A26" s="4" t="inlineStr">
        <is>
          <t>Consult a qualified CPA or tax attorney before making investment decisions.</t>
        </is>
      </c>
    </row>
    <row r="27">
      <c r="A27" s="4" t="inlineStr">
        <is>
          <t>§1045 rollovers have specific requirements; state tax treatment varies.</t>
        </is>
      </c>
    </row>
    <row r="28">
      <c r="A28" s="2" t="inlineStr"/>
    </row>
    <row r="29">
      <c r="A29" s="2" t="inlineStr">
        <is>
          <t>For questions or issues with this model, contact the model creator.</t>
        </is>
      </c>
    </row>
    <row r="30">
      <c r="A30" s="5" t="inlineStr">
        <is>
          <t>Generated: 2026-02-14 08:23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LBRX QSBS &amp; Evecxia Scenario Model</t>
        </is>
      </c>
    </row>
    <row r="2">
      <c r="A2" s="7" t="inlineStr">
        <is>
          <t>Inputs &amp; Assumptions</t>
        </is>
      </c>
    </row>
    <row r="4">
      <c r="A4" s="8" t="inlineStr">
        <is>
          <t>INVESTOR TAX PROFILE</t>
        </is>
      </c>
    </row>
    <row r="5">
      <c r="A5" s="9" t="inlineStr">
        <is>
          <t>Federal LTCG Rate</t>
        </is>
      </c>
      <c r="B5" s="40" t="n">
        <v>0.2</v>
      </c>
    </row>
    <row r="6">
      <c r="A6" s="9" t="inlineStr">
        <is>
          <t>NIIT (3.8%) Applies?</t>
        </is>
      </c>
      <c r="B6" s="11" t="inlineStr">
        <is>
          <t>YES</t>
        </is>
      </c>
    </row>
    <row r="7">
      <c r="A7" s="9" t="inlineStr">
        <is>
          <t>NIIT Rate</t>
        </is>
      </c>
      <c r="B7" s="41">
        <f>IF(B6="YES",0.038,0)</f>
        <v/>
      </c>
    </row>
    <row r="8">
      <c r="A8" s="9" t="inlineStr">
        <is>
          <t>Effective Federal Rate</t>
        </is>
      </c>
      <c r="B8" s="41">
        <f>B5+B7</f>
        <v/>
      </c>
    </row>
    <row r="9">
      <c r="A9" s="9" t="inlineStr">
        <is>
          <t>State Tax Rate</t>
        </is>
      </c>
      <c r="B9" s="40" t="n">
        <v>0</v>
      </c>
    </row>
    <row r="10">
      <c r="A10" s="9" t="inlineStr">
        <is>
          <t>Combined Tax Rate</t>
        </is>
      </c>
      <c r="B10" s="41">
        <f>B8+B9</f>
        <v/>
      </c>
    </row>
    <row r="11">
      <c r="A11" s="9" t="inlineStr">
        <is>
          <t>Federal Ordinary Income Rate</t>
        </is>
      </c>
      <c r="B11" s="40" t="n">
        <v>0.37</v>
      </c>
    </row>
    <row r="13">
      <c r="A13" s="8" t="inlineStr">
        <is>
          <t>SERIES B INVESTMENT</t>
        </is>
      </c>
    </row>
    <row r="14">
      <c r="A14" s="9" t="inlineStr">
        <is>
          <t>Series B Invest Date</t>
        </is>
      </c>
      <c r="B14" s="42" t="n">
        <v>44684</v>
      </c>
    </row>
    <row r="15">
      <c r="A15" s="9" t="inlineStr">
        <is>
          <t>Series B Cost Basis ($)</t>
        </is>
      </c>
      <c r="B15" s="43" t="n">
        <v>100000</v>
      </c>
    </row>
    <row r="16">
      <c r="A16" s="9" t="inlineStr">
        <is>
          <t>Series B Cost Per Share</t>
        </is>
      </c>
      <c r="B16" s="44" t="n">
        <v>24</v>
      </c>
    </row>
    <row r="17">
      <c r="A17" s="9" t="inlineStr">
        <is>
          <t>Series B Shares Acquired</t>
        </is>
      </c>
      <c r="B17" s="16">
        <f>B15/B16</f>
        <v/>
      </c>
    </row>
    <row r="18">
      <c r="A18" s="9" t="inlineStr">
        <is>
          <t>Series B QSBS Eligible</t>
        </is>
      </c>
      <c r="B18" s="17" t="inlineStr">
        <is>
          <t>YES</t>
        </is>
      </c>
    </row>
    <row r="19">
      <c r="A19" s="9" t="inlineStr">
        <is>
          <t>QSBS 5-Year Completion Date</t>
        </is>
      </c>
      <c r="B19" s="45">
        <f>B14+1826</f>
        <v/>
      </c>
    </row>
    <row r="21">
      <c r="A21" s="8" t="inlineStr">
        <is>
          <t>SERIES C INVESTMENT (optional)</t>
        </is>
      </c>
    </row>
    <row r="22">
      <c r="A22" s="9" t="inlineStr">
        <is>
          <t>Series C Invest Date</t>
        </is>
      </c>
    </row>
    <row r="23">
      <c r="A23" s="9" t="inlineStr">
        <is>
          <t>Series C Cost Basis ($)</t>
        </is>
      </c>
    </row>
    <row r="24">
      <c r="A24" s="9" t="inlineStr">
        <is>
          <t>Series C Cost Per Share</t>
        </is>
      </c>
      <c r="B24" s="44" t="n">
        <v>36.44</v>
      </c>
    </row>
    <row r="25">
      <c r="A25" s="9" t="inlineStr">
        <is>
          <t>Series C Shares Acquired</t>
        </is>
      </c>
      <c r="B25" s="16">
        <f>IF(B23="","",B23/B24)</f>
        <v/>
      </c>
    </row>
    <row r="26">
      <c r="A26" s="9" t="inlineStr">
        <is>
          <t>Series C QSBS Eligible</t>
        </is>
      </c>
      <c r="B26" s="17" t="inlineStr">
        <is>
          <t>NO</t>
        </is>
      </c>
    </row>
    <row r="28">
      <c r="A28" s="8" t="inlineStr">
        <is>
          <t>EVECXIA INVESTMENT (§1045)</t>
        </is>
      </c>
    </row>
    <row r="29">
      <c r="A29" s="9" t="inlineStr">
        <is>
          <t>Evecxia Purchase Date</t>
        </is>
      </c>
      <c r="B29" s="42" t="n">
        <v>46123</v>
      </c>
    </row>
    <row r="30">
      <c r="A30" s="9" t="inlineStr">
        <is>
          <t>Evecxia Share Price</t>
        </is>
      </c>
      <c r="B30" s="46" t="n">
        <v>0.1069</v>
      </c>
    </row>
    <row r="31">
      <c r="A31" s="9" t="inlineStr">
        <is>
          <t>Amount Reinvested</t>
        </is>
      </c>
      <c r="B31" s="47">
        <f>B15</f>
        <v/>
      </c>
    </row>
    <row r="32">
      <c r="A32" s="9" t="inlineStr">
        <is>
          <t>Evecxia Shares Acquired</t>
        </is>
      </c>
      <c r="B32" s="16">
        <f>B31/B30</f>
        <v/>
      </c>
    </row>
    <row r="33">
      <c r="A33" s="9" t="inlineStr">
        <is>
          <t>Evecxia QSBS Eligible</t>
        </is>
      </c>
      <c r="B33" s="11" t="inlineStr">
        <is>
          <t>YES</t>
        </is>
      </c>
    </row>
    <row r="34">
      <c r="A34" s="9" t="inlineStr">
        <is>
          <t>Evecxia Pre-Money Valuation</t>
        </is>
      </c>
      <c r="B34" s="43" t="n">
        <v>14000000</v>
      </c>
    </row>
    <row r="35">
      <c r="A35" s="9" t="inlineStr">
        <is>
          <t>Evecxia Post-Money Valuation</t>
        </is>
      </c>
      <c r="B35" s="43" t="n">
        <v>30000000</v>
      </c>
    </row>
    <row r="36">
      <c r="A36" s="9" t="inlineStr">
        <is>
          <t>Evecxia Total Shares at SerA Close</t>
        </is>
      </c>
      <c r="B36" s="16">
        <f>B35/B30</f>
        <v/>
      </c>
    </row>
    <row r="38">
      <c r="A38" s="8" t="inlineStr">
        <is>
          <t>MARKET / IPO DETAILS</t>
        </is>
      </c>
    </row>
    <row r="39">
      <c r="A39" s="9" t="inlineStr">
        <is>
          <t>IPO Date</t>
        </is>
      </c>
      <c r="B39" s="42" t="n">
        <v>45912</v>
      </c>
    </row>
    <row r="40">
      <c r="A40" s="9" t="inlineStr">
        <is>
          <t>IPO Price</t>
        </is>
      </c>
      <c r="B40" s="44" t="n">
        <v>15</v>
      </c>
    </row>
    <row r="41">
      <c r="A41" s="9" t="inlineStr">
        <is>
          <t>Lock-Up Release Date</t>
        </is>
      </c>
      <c r="B41" s="42" t="n">
        <v>46093</v>
      </c>
    </row>
    <row r="42">
      <c r="A42" s="9" t="inlineStr">
        <is>
          <t>Current / Lock-Up Price</t>
        </is>
      </c>
      <c r="B42" s="44" t="n">
        <v>24.22</v>
      </c>
    </row>
    <row r="43">
      <c r="A43" s="9" t="inlineStr">
        <is>
          <t>Shares Outstanding (post-IPO)</t>
        </is>
      </c>
      <c r="B43" s="21" t="n">
        <v>25300000</v>
      </c>
    </row>
    <row r="44">
      <c r="A44" s="9" t="inlineStr">
        <is>
          <t>Shares Outstanding (post-PIPE)</t>
        </is>
      </c>
      <c r="B44" s="21" t="n">
        <v>30000000</v>
      </c>
    </row>
    <row r="46">
      <c r="A46" s="8" t="inlineStr">
        <is>
          <t>CLINICAL TIMELINE</t>
        </is>
      </c>
    </row>
    <row r="47">
      <c r="A47" s="9" t="inlineStr">
        <is>
          <t>Phase 3 Topline Expected</t>
        </is>
      </c>
      <c r="B47" s="42" t="n">
        <v>46661</v>
      </c>
    </row>
    <row r="48">
      <c r="A48" s="9" t="inlineStr">
        <is>
          <t>Evecxia Phase 2 Readout</t>
        </is>
      </c>
      <c r="B48" s="42" t="n">
        <v>46675</v>
      </c>
    </row>
    <row r="49">
      <c r="A49" s="9" t="inlineStr">
        <is>
          <t>Evecxia IPO Target</t>
        </is>
      </c>
      <c r="B49" s="42" t="n">
        <v>46539</v>
      </c>
    </row>
    <row r="51">
      <c r="A51" s="8" t="inlineStr">
        <is>
          <t>SCENARIO VALUATIONS (from Comps)</t>
        </is>
      </c>
    </row>
    <row r="52">
      <c r="A52" s="9" t="inlineStr">
        <is>
          <t>LBRX Price — Ph3 Positive (Low)</t>
        </is>
      </c>
      <c r="B52" s="44" t="n">
        <v>50</v>
      </c>
    </row>
    <row r="53">
      <c r="A53" s="9" t="inlineStr">
        <is>
          <t>LBRX Price — Ph3 Positive (Base)</t>
        </is>
      </c>
      <c r="B53" s="44" t="n">
        <v>100</v>
      </c>
    </row>
    <row r="54">
      <c r="A54" s="9" t="inlineStr">
        <is>
          <t>LBRX Price — Ph3 Positive (High)</t>
        </is>
      </c>
      <c r="B54" s="44" t="n">
        <v>165</v>
      </c>
    </row>
    <row r="55">
      <c r="A55" s="9" t="inlineStr">
        <is>
          <t>LBRX Price — Ph3 Negative (Low)</t>
        </is>
      </c>
      <c r="B55" s="44" t="n">
        <v>3.3</v>
      </c>
    </row>
    <row r="56">
      <c r="A56" s="9" t="inlineStr">
        <is>
          <t>LBRX Price — Ph3 Negative (Base)</t>
        </is>
      </c>
      <c r="B56" s="44" t="n">
        <v>6.6</v>
      </c>
    </row>
    <row r="57">
      <c r="A57" s="9" t="inlineStr">
        <is>
          <t>LBRX Price — Ph3 Negative (High)</t>
        </is>
      </c>
      <c r="B57" s="44" t="n">
        <v>11.5</v>
      </c>
    </row>
    <row r="58">
      <c r="A58" s="9" t="inlineStr">
        <is>
          <t>Evecxia Val — Ph2 Positive (Low)</t>
        </is>
      </c>
      <c r="B58" s="43" t="n">
        <v>800000000</v>
      </c>
    </row>
    <row r="59">
      <c r="A59" s="9" t="inlineStr">
        <is>
          <t>Evecxia Val — Ph2 Positive (Base)</t>
        </is>
      </c>
      <c r="B59" s="43" t="n">
        <v>1500000000</v>
      </c>
    </row>
    <row r="60">
      <c r="A60" s="9" t="inlineStr">
        <is>
          <t>Evecxia Val — Ph2 Positive (High)</t>
        </is>
      </c>
      <c r="B60" s="43" t="n">
        <v>3000000000</v>
      </c>
    </row>
    <row r="61">
      <c r="A61" s="9" t="inlineStr">
        <is>
          <t>Evecxia Val — Ph2 Negative (Low)</t>
        </is>
      </c>
      <c r="B61" s="43" t="n">
        <v>50000000</v>
      </c>
    </row>
    <row r="62">
      <c r="A62" s="9" t="inlineStr">
        <is>
          <t>Evecxia Val — Ph2 Negative (Base)</t>
        </is>
      </c>
      <c r="B62" s="43" t="n">
        <v>120000000</v>
      </c>
    </row>
    <row r="63">
      <c r="A63" s="9" t="inlineStr">
        <is>
          <t>Evecxia Val — Ph2 Negative (High)</t>
        </is>
      </c>
      <c r="B63" s="43" t="n">
        <v>250000000</v>
      </c>
    </row>
    <row r="64">
      <c r="A64" s="9" t="inlineStr">
        <is>
          <t>Evecxia IPO Valuation</t>
        </is>
      </c>
      <c r="B64" s="43" t="n">
        <v>180000000</v>
      </c>
    </row>
    <row r="65">
      <c r="A65" s="9" t="inlineStr">
        <is>
          <t>Evecxia Shares at Readout (est.)</t>
        </is>
      </c>
      <c r="B65" s="21" t="n">
        <v>365000000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20" customWidth="1" min="4" max="4"/>
    <col width="40" customWidth="1" min="5" max="5"/>
  </cols>
  <sheetData>
    <row r="1">
      <c r="A1" s="22" t="inlineStr">
        <is>
          <t>Date</t>
        </is>
      </c>
      <c r="B1" s="22" t="inlineStr">
        <is>
          <t>Event</t>
        </is>
      </c>
      <c r="C1" s="22" t="inlineStr">
        <is>
          <t>Days from Series B</t>
        </is>
      </c>
      <c r="D1" s="22" t="inlineStr">
        <is>
          <t>QSBS Status</t>
        </is>
      </c>
      <c r="E1" s="22" t="inlineStr">
        <is>
          <t>Notes</t>
        </is>
      </c>
    </row>
    <row r="2">
      <c r="A2" s="48">
        <f>serb_date</f>
        <v/>
      </c>
      <c r="B2" t="inlineStr">
        <is>
          <t>Series B Closes → QSBS Clock Starts</t>
        </is>
      </c>
      <c r="C2" s="24">
        <f>A2-serb_date</f>
        <v/>
      </c>
      <c r="D2" t="inlineStr">
        <is>
          <t>Day 0</t>
        </is>
      </c>
      <c r="E2" s="25" t="inlineStr">
        <is>
          <t>QSBS holding period begins</t>
        </is>
      </c>
    </row>
    <row r="3">
      <c r="A3" s="48">
        <f>serb_date+180</f>
        <v/>
      </c>
      <c r="B3" t="inlineStr">
        <is>
          <t>6-Month §1045 Eligibility Threshold Met</t>
        </is>
      </c>
      <c r="C3" s="24">
        <f>A3-serb_date</f>
        <v/>
      </c>
      <c r="D3" t="inlineStr">
        <is>
          <t>6 months</t>
        </is>
      </c>
      <c r="E3" s="25" t="inlineStr">
        <is>
          <t>§1045 rollover now available if sold</t>
        </is>
      </c>
    </row>
    <row r="4">
      <c r="A4" s="48">
        <f>Inputs!$B$39</f>
        <v/>
      </c>
      <c r="B4" t="inlineStr">
        <is>
          <t>LBRX IPO at $15.00/share</t>
        </is>
      </c>
      <c r="C4" s="24">
        <f>A4-serb_date</f>
        <v/>
      </c>
      <c r="D4" t="inlineStr">
        <is>
          <t>IPO event</t>
        </is>
      </c>
      <c r="E4" s="25" t="inlineStr">
        <is>
          <t>Series B converts to common, heavy dilution</t>
        </is>
      </c>
    </row>
    <row r="5">
      <c r="A5" s="48">
        <f>lockup_date</f>
        <v/>
      </c>
      <c r="B5" t="inlineStr">
        <is>
          <t>Lock-Up Release (180 days post-IPO)</t>
        </is>
      </c>
      <c r="C5" s="24">
        <f>A5-serb_date</f>
        <v/>
      </c>
      <c r="D5" t="inlineStr">
        <is>
          <t>~46 months</t>
        </is>
      </c>
      <c r="E5" s="25" t="inlineStr">
        <is>
          <t>Series B can sell, but &lt; 5 years → NO §1202</t>
        </is>
      </c>
    </row>
    <row r="6">
      <c r="A6" s="48">
        <f>evecxia_purchase</f>
        <v/>
      </c>
      <c r="B6" t="inlineStr">
        <is>
          <t>Evecxia Purchase (§1045 scenario)</t>
        </is>
      </c>
      <c r="C6" s="24">
        <f>A6-serb_date</f>
        <v/>
      </c>
      <c r="D6" t="inlineStr">
        <is>
          <t>Within 60d of lock-up</t>
        </is>
      </c>
      <c r="E6" s="25" t="inlineStr">
        <is>
          <t>If §1045 rollover executed</t>
        </is>
      </c>
    </row>
    <row r="7">
      <c r="A7" s="48">
        <f>qsbs_5yr_date</f>
        <v/>
      </c>
      <c r="B7" t="inlineStr">
        <is>
          <t>5-YEAR QSBS THRESHOLD MET (Series B)</t>
        </is>
      </c>
      <c r="C7" s="24">
        <f>A7-serb_date</f>
        <v/>
      </c>
      <c r="D7" t="inlineStr">
        <is>
          <t>1826 days (5 yrs)</t>
        </is>
      </c>
      <c r="E7" s="25" t="inlineStr">
        <is>
          <t>§1202 exclusion NOW available</t>
        </is>
      </c>
    </row>
    <row r="8">
      <c r="A8" s="48">
        <f>Inputs!$B$49</f>
        <v/>
      </c>
      <c r="B8" t="inlineStr">
        <is>
          <t>Evecxia IPO (estimated)</t>
        </is>
      </c>
      <c r="C8" s="24">
        <f>A8-serb_date</f>
        <v/>
      </c>
      <c r="D8" t="inlineStr">
        <is>
          <t>Pre-readout</t>
        </is>
      </c>
      <c r="E8" s="25" t="inlineStr">
        <is>
          <t>If Evecxia goes public Q2 2027</t>
        </is>
      </c>
    </row>
    <row r="9">
      <c r="A9" s="48">
        <f>ph3_date</f>
        <v/>
      </c>
      <c r="B9" t="inlineStr">
        <is>
          <t>LBRX Phase 3 Topline (estimated)</t>
        </is>
      </c>
      <c r="C9" s="24">
        <f>A9-serb_date</f>
        <v/>
      </c>
      <c r="D9" t="inlineStr">
        <is>
          <t>~5.4 years</t>
        </is>
      </c>
      <c r="E9" s="25" t="inlineStr">
        <is>
          <t>CRITICAL: After May 3, 2027 → §1202 available</t>
        </is>
      </c>
    </row>
    <row r="10">
      <c r="A10" s="48">
        <f>evecxia_ph2_date</f>
        <v/>
      </c>
      <c r="B10" t="inlineStr">
        <is>
          <t>Evecxia Phase 2 OCD Readout (estimated)</t>
        </is>
      </c>
      <c r="C10" s="24">
        <f>A10-serb_date</f>
        <v/>
      </c>
      <c r="D10" t="inlineStr">
        <is>
          <t>~5.45 years</t>
        </is>
      </c>
      <c r="E10" s="25" t="inlineStr">
        <is>
          <t>§1045→§1202 chain value inflection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6" t="inlineStr">
        <is>
          <t>COMPARABLE COMPANY ANALYSIS</t>
        </is>
      </c>
    </row>
    <row r="3">
      <c r="A3" s="26" t="inlineStr">
        <is>
          <t>LBRX POST-PHASE 3 POSITIVE SCENARIOS</t>
        </is>
      </c>
    </row>
    <row r="4">
      <c r="A4" t="inlineStr">
        <is>
          <t>Low: $1.5B mkt cap (~$50/share) — Conservative Phase 3 positive</t>
        </is>
      </c>
    </row>
    <row r="5">
      <c r="A5" t="inlineStr">
        <is>
          <t>Base: $3.0B mkt cap (~$100/share) — Strong Phase 3 data + pipeline value</t>
        </is>
      </c>
    </row>
    <row r="6">
      <c r="A6" t="inlineStr">
        <is>
          <t>High: $5.0B mkt cap (~$165/share) — Karuna-style M&amp;A premium</t>
        </is>
      </c>
    </row>
    <row r="8">
      <c r="A8" s="26" t="inlineStr">
        <is>
          <t>LBRX POST-PHASE 3 NEGATIVE SCENARIOS</t>
        </is>
      </c>
    </row>
    <row r="9">
      <c r="A9" t="inlineStr">
        <is>
          <t>Low: $100M mkt cap (~$3.30/share) — Minerva-style wipeout</t>
        </is>
      </c>
    </row>
    <row r="10">
      <c r="A10" t="inlineStr">
        <is>
          <t>Base: $200M mkt cap (~$6.60/share) — Cash floor + option value</t>
        </is>
      </c>
    </row>
    <row r="11">
      <c r="A11" t="inlineStr">
        <is>
          <t>High: $350M mkt cap (~$11.50/share) — Modest decline, retry potential</t>
        </is>
      </c>
    </row>
    <row r="13">
      <c r="A13" s="26" t="inlineStr">
        <is>
          <t>EVECXIA POST-PHASE 2 POSITIVE SCENARIOS</t>
        </is>
      </c>
    </row>
    <row r="14">
      <c r="A14" t="inlineStr">
        <is>
          <t>Low: $800M — Modest positive data</t>
        </is>
      </c>
    </row>
    <row r="15">
      <c r="A15" t="inlineStr">
        <is>
          <t>Base: $1.5B — Strong data validates platform (Karuna-like)</t>
        </is>
      </c>
    </row>
    <row r="16">
      <c r="A16" t="inlineStr">
        <is>
          <t>High: $3.0B — Blowout data + M&amp;A bidding war</t>
        </is>
      </c>
    </row>
    <row r="18">
      <c r="A18" s="26" t="inlineStr">
        <is>
          <t>EVECXIA POST-PHASE 2 NEGATIVE SCENARIOS</t>
        </is>
      </c>
    </row>
    <row r="19">
      <c r="A19" t="inlineStr">
        <is>
          <t>Low: $50M — Cash floor wipeout</t>
        </is>
      </c>
    </row>
    <row r="20">
      <c r="A20" t="inlineStr">
        <is>
          <t>Base: $120M — Failed primary but platform retains value</t>
        </is>
      </c>
    </row>
    <row r="21">
      <c r="A21" t="inlineStr">
        <is>
          <t>High: $250M — Borderline miss, dose issue, still fundable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SCENARIO ANALYSIS</t>
        </is>
      </c>
    </row>
    <row r="3">
      <c r="A3" s="22" t="inlineStr">
        <is>
          <t>Metric</t>
        </is>
      </c>
      <c r="B3" s="22" t="inlineStr">
        <is>
          <t>S1: Lock-Up Sale</t>
        </is>
      </c>
      <c r="C3" s="22" t="inlineStr">
        <is>
          <t>S2: Ph3+ Hold</t>
        </is>
      </c>
      <c r="D3" s="22" t="inlineStr">
        <is>
          <t>S3: Ph3- Hold</t>
        </is>
      </c>
      <c r="E3" s="22" t="inlineStr">
        <is>
          <t>S4: Dual Lot Lock-Up</t>
        </is>
      </c>
      <c r="F3" s="22" t="inlineStr">
        <is>
          <t>S5: §1045→Eve Ph2+</t>
        </is>
      </c>
      <c r="G3" s="22" t="inlineStr">
        <is>
          <t>S6: §1045→Eve Ph2-</t>
        </is>
      </c>
    </row>
    <row r="5">
      <c r="A5" s="27" t="inlineStr">
        <is>
          <t>Sale Date</t>
        </is>
      </c>
      <c r="B5" s="49">
        <f>lockup_date</f>
        <v/>
      </c>
      <c r="C5" s="49">
        <f>ph3_date</f>
        <v/>
      </c>
      <c r="D5" s="49">
        <f>ph3_date</f>
        <v/>
      </c>
      <c r="E5" s="49">
        <f>lockup_date</f>
        <v/>
      </c>
      <c r="F5" s="49">
        <f>evecxia_ph2_date</f>
        <v/>
      </c>
      <c r="G5" s="49">
        <f>evecxia_ph2_date</f>
        <v/>
      </c>
    </row>
    <row r="6">
      <c r="A6" s="27" t="inlineStr">
        <is>
          <t>Sale Price / Share</t>
        </is>
      </c>
      <c r="B6" s="50">
        <f>lockup_price</f>
        <v/>
      </c>
      <c r="C6" s="50">
        <f>Inputs!B53</f>
        <v/>
      </c>
      <c r="D6" s="50">
        <f>Inputs!B56</f>
        <v/>
      </c>
      <c r="E6" s="50">
        <f>lockup_price</f>
        <v/>
      </c>
      <c r="F6" s="50">
        <f>Inputs!B59/Inputs!B65</f>
        <v/>
      </c>
      <c r="G6" s="50">
        <f>Inputs!B62/Inputs!B65</f>
        <v/>
      </c>
    </row>
    <row r="7">
      <c r="A7" s="27" t="inlineStr">
        <is>
          <t>Shares</t>
        </is>
      </c>
      <c r="B7" s="30">
        <f>serb_shares</f>
        <v/>
      </c>
      <c r="C7" s="30">
        <f>serb_shares</f>
        <v/>
      </c>
      <c r="D7" s="30">
        <f>serb_shares</f>
        <v/>
      </c>
      <c r="E7" s="30">
        <f>serb_shares+IF(Inputs!B23="",0,Inputs!B25)</f>
        <v/>
      </c>
      <c r="F7" s="30">
        <f>Inputs!B32</f>
        <v/>
      </c>
      <c r="G7" s="30">
        <f>Inputs!B32</f>
        <v/>
      </c>
    </row>
    <row r="8">
      <c r="A8" s="27" t="inlineStr">
        <is>
          <t>Gross Proceeds</t>
        </is>
      </c>
      <c r="B8" s="51">
        <f>B6*B7</f>
        <v/>
      </c>
      <c r="C8" s="51">
        <f>C6*C7</f>
        <v/>
      </c>
      <c r="D8" s="51">
        <f>D6*D7</f>
        <v/>
      </c>
      <c r="E8" s="51">
        <f>E6*E7</f>
        <v/>
      </c>
      <c r="F8" s="51">
        <f>F6*F7</f>
        <v/>
      </c>
      <c r="G8" s="51">
        <f>G6*G7</f>
        <v/>
      </c>
    </row>
    <row r="9">
      <c r="A9" s="27" t="inlineStr">
        <is>
          <t>Cost Basis</t>
        </is>
      </c>
      <c r="B9" s="51">
        <f>serb_basis</f>
        <v/>
      </c>
      <c r="C9" s="51">
        <f>serb_basis</f>
        <v/>
      </c>
      <c r="D9" s="51">
        <f>serb_basis</f>
        <v/>
      </c>
      <c r="E9" s="51">
        <f>serb_basis+IF(Inputs!B23="",0,Inputs!B23)</f>
        <v/>
      </c>
      <c r="F9" s="51">
        <f>serb_basis</f>
        <v/>
      </c>
      <c r="G9" s="51">
        <f>serb_basis</f>
        <v/>
      </c>
    </row>
    <row r="10">
      <c r="A10" s="27" t="inlineStr">
        <is>
          <t>Gross Gain</t>
        </is>
      </c>
      <c r="B10" s="51">
        <f>B8-B9</f>
        <v/>
      </c>
      <c r="C10" s="51">
        <f>C8-C9</f>
        <v/>
      </c>
      <c r="D10" s="51">
        <f>D8-D9</f>
        <v/>
      </c>
      <c r="E10" s="51">
        <f>E8-E9</f>
        <v/>
      </c>
      <c r="F10" s="51">
        <f>F8-F9</f>
        <v/>
      </c>
      <c r="G10" s="51">
        <f>G8-G9</f>
        <v/>
      </c>
    </row>
    <row r="11">
      <c r="A11" s="27" t="inlineStr">
        <is>
          <t>Holding Period (days)</t>
        </is>
      </c>
      <c r="B11" s="30">
        <f>lockup_date-serb_date</f>
        <v/>
      </c>
      <c r="C11" s="30">
        <f>ph3_date-serb_date</f>
        <v/>
      </c>
      <c r="D11" s="30">
        <f>ph3_date-serb_date</f>
        <v/>
      </c>
      <c r="E11" s="30">
        <f>lockup_date-serb_date</f>
        <v/>
      </c>
      <c r="F11" s="30">
        <f>evecxia_ph2_date-serb_date</f>
        <v/>
      </c>
      <c r="G11" s="30">
        <f>evecxia_ph2_date-serb_date</f>
        <v/>
      </c>
    </row>
    <row r="12">
      <c r="A12" s="27" t="inlineStr">
        <is>
          <t>Holding Period (years)</t>
        </is>
      </c>
      <c r="B12" s="32">
        <f>B11/365.25</f>
        <v/>
      </c>
      <c r="C12" s="32">
        <f>C11/365.25</f>
        <v/>
      </c>
      <c r="D12" s="32">
        <f>D11/365.25</f>
        <v/>
      </c>
      <c r="E12" s="32">
        <f>E11/365.25</f>
        <v/>
      </c>
      <c r="F12" s="32">
        <f>F11/365.25</f>
        <v/>
      </c>
      <c r="G12" s="32">
        <f>G11/365.25</f>
        <v/>
      </c>
    </row>
    <row r="13">
      <c r="A13" s="27" t="inlineStr">
        <is>
          <t>Long-Term?</t>
        </is>
      </c>
      <c r="B13" s="33">
        <f>IF(B11&gt;365,"YES","NO")</f>
        <v/>
      </c>
      <c r="C13" s="33">
        <f>IF(C11&gt;365,"YES","NO")</f>
        <v/>
      </c>
      <c r="D13" s="33">
        <f>IF(D11&gt;365,"YES","NO")</f>
        <v/>
      </c>
      <c r="E13" s="33">
        <f>IF(E11&gt;365,"YES","NO")</f>
        <v/>
      </c>
      <c r="F13" s="33">
        <f>IF(F11&gt;365,"YES","NO")</f>
        <v/>
      </c>
      <c r="G13" s="33">
        <f>IF(G11&gt;365,"YES","NO")</f>
        <v/>
      </c>
    </row>
    <row r="14">
      <c r="A14" s="27" t="inlineStr">
        <is>
          <t>QSBS 5-Year Met?</t>
        </is>
      </c>
      <c r="B14" s="33">
        <f>IF(AND(B11&gt;=1826,Inputs!B18="YES"),"YES","NO")</f>
        <v/>
      </c>
      <c r="C14" s="33">
        <f>IF(AND(C11&gt;=1826,Inputs!B18="YES"),"YES","NO")</f>
        <v/>
      </c>
      <c r="D14" s="33">
        <f>IF(AND(D11&gt;=1826,Inputs!B18="YES"),"YES","NO")</f>
        <v/>
      </c>
      <c r="E14" s="33">
        <f>IF(AND(E11&gt;=1826,Inputs!B18="YES"),"YES","NO")</f>
        <v/>
      </c>
      <c r="F14" s="33">
        <f>IF(AND(F11&gt;=1826,Inputs!B33="YES"),"YES","NO")</f>
        <v/>
      </c>
      <c r="G14" s="33">
        <f>IF(AND(G11&gt;=1826,Inputs!B33="YES"),"YES","NO")</f>
        <v/>
      </c>
    </row>
    <row r="15">
      <c r="A15" s="27" t="inlineStr">
        <is>
          <t>§1202 Exclusion</t>
        </is>
      </c>
      <c r="B15" s="51">
        <f>IF(B14="YES",MIN(B10,MAX(10000000,10*B9)),0)</f>
        <v/>
      </c>
      <c r="C15" s="51">
        <f>IF(C14="YES",MIN(C10,MAX(10000000,10*C9)),0)</f>
        <v/>
      </c>
      <c r="D15" s="51">
        <f>IF(D14="YES",MIN(MAX(0,D10),MAX(10000000,10*D9)),0)</f>
        <v/>
      </c>
      <c r="E15" s="51">
        <f>IF(E14="YES",MIN(serb_shares*lockup_price-serb_basis,MAX(10000000,10*serb_basis)),0)</f>
        <v/>
      </c>
      <c r="F15" s="51">
        <f>IF(F14="YES",MIN(F10,MAX(10000000,10*F9)),0)</f>
        <v/>
      </c>
      <c r="G15" s="51">
        <f>IF(G14="YES",MIN(MAX(0,G10),MAX(10000000,10*G9)),0)</f>
        <v/>
      </c>
    </row>
    <row r="16">
      <c r="A16" s="27" t="inlineStr">
        <is>
          <t>§1045 Deferral</t>
        </is>
      </c>
      <c r="B16" s="51" t="n">
        <v>0</v>
      </c>
      <c r="C16" s="51" t="n">
        <v>0</v>
      </c>
      <c r="D16" s="51" t="n">
        <v>0</v>
      </c>
      <c r="E16" s="51" t="n">
        <v>0</v>
      </c>
      <c r="F16" s="51">
        <f>serb_shares*lockup_price-serb_basis</f>
        <v/>
      </c>
      <c r="G16" s="51">
        <f>serb_shares*lockup_price-serb_basis</f>
        <v/>
      </c>
    </row>
    <row r="17">
      <c r="A17" s="27" t="inlineStr">
        <is>
          <t>Taxable Gain</t>
        </is>
      </c>
      <c r="B17" s="51">
        <f>MAX(0,B10-B15-B16)</f>
        <v/>
      </c>
      <c r="C17" s="51">
        <f>MAX(0,C10-C15-C16)</f>
        <v/>
      </c>
      <c r="D17" s="51">
        <f>MAX(0,D10-D15-D16)</f>
        <v/>
      </c>
      <c r="E17" s="51">
        <f>MAX(0,E10-E15-E16)</f>
        <v/>
      </c>
      <c r="F17" s="51">
        <f>MAX(0,F10-F15)</f>
        <v/>
      </c>
      <c r="G17" s="51">
        <f>MAX(0,G10-G15)</f>
        <v/>
      </c>
    </row>
    <row r="18">
      <c r="A18" s="27" t="inlineStr">
        <is>
          <t>Federal Tax</t>
        </is>
      </c>
      <c r="B18" s="51">
        <f>IF(B13="YES",B17*eff_fed_rate,B17*Inputs!B11)</f>
        <v/>
      </c>
      <c r="C18" s="51">
        <f>IF(C13="YES",C17*eff_fed_rate,C17*Inputs!B11)</f>
        <v/>
      </c>
      <c r="D18" s="51">
        <f>IF(D13="YES",D17*eff_fed_rate,D17*Inputs!B11)</f>
        <v/>
      </c>
      <c r="E18" s="51">
        <f>IF(E13="YES",E17*eff_fed_rate,E17*Inputs!B11)</f>
        <v/>
      </c>
      <c r="F18" s="51">
        <f>IF(F13="YES",F17*eff_fed_rate,F17*Inputs!B11)</f>
        <v/>
      </c>
      <c r="G18" s="51">
        <f>IF(G13="YES",G17*eff_fed_rate,G17*Inputs!B11)</f>
        <v/>
      </c>
    </row>
    <row r="19">
      <c r="A19" s="27" t="inlineStr">
        <is>
          <t>State Tax</t>
        </is>
      </c>
      <c r="B19" s="51">
        <f>B17*state_rate</f>
        <v/>
      </c>
      <c r="C19" s="51">
        <f>C17*state_rate</f>
        <v/>
      </c>
      <c r="D19" s="51">
        <f>D17*state_rate</f>
        <v/>
      </c>
      <c r="E19" s="51">
        <f>E17*state_rate</f>
        <v/>
      </c>
      <c r="F19" s="51">
        <f>F17*state_rate</f>
        <v/>
      </c>
      <c r="G19" s="51">
        <f>G17*state_rate</f>
        <v/>
      </c>
    </row>
    <row r="20">
      <c r="A20" s="27" t="inlineStr">
        <is>
          <t>Total Tax</t>
        </is>
      </c>
      <c r="B20" s="51">
        <f>B18+B19</f>
        <v/>
      </c>
      <c r="C20" s="51">
        <f>C18+C19</f>
        <v/>
      </c>
      <c r="D20" s="51">
        <f>D18+D19</f>
        <v/>
      </c>
      <c r="E20" s="51">
        <f>E18+E19</f>
        <v/>
      </c>
      <c r="F20" s="51">
        <f>F18+F19</f>
        <v/>
      </c>
      <c r="G20" s="51">
        <f>G18+G19</f>
        <v/>
      </c>
    </row>
    <row r="21">
      <c r="A21" s="27" t="inlineStr">
        <is>
          <t>Net After-Tax</t>
        </is>
      </c>
      <c r="B21" s="52">
        <f>B8-B20</f>
        <v/>
      </c>
      <c r="C21" s="52">
        <f>C8-C20</f>
        <v/>
      </c>
      <c r="D21" s="52">
        <f>D8-D20</f>
        <v/>
      </c>
      <c r="E21" s="52">
        <f>E8-E20</f>
        <v/>
      </c>
      <c r="F21" s="52">
        <f>F8-F20</f>
        <v/>
      </c>
      <c r="G21" s="52">
        <f>G8-G20</f>
        <v/>
      </c>
    </row>
    <row r="22">
      <c r="A22" s="27" t="inlineStr">
        <is>
          <t>MOIC</t>
        </is>
      </c>
      <c r="B22" s="53">
        <f>B21/B9</f>
        <v/>
      </c>
      <c r="C22" s="53">
        <f>C21/C9</f>
        <v/>
      </c>
      <c r="D22" s="53">
        <f>D21/D9</f>
        <v/>
      </c>
      <c r="E22" s="53">
        <f>E21/E9</f>
        <v/>
      </c>
      <c r="F22" s="53">
        <f>F21/F9</f>
        <v/>
      </c>
      <c r="G22" s="53">
        <f>G21/G9</f>
        <v/>
      </c>
    </row>
    <row r="23">
      <c r="A23" s="27" t="inlineStr">
        <is>
          <t>Effective Tax Rate</t>
        </is>
      </c>
      <c r="B23" s="54">
        <f>IF(B10&gt;0,B20/B10,0)</f>
        <v/>
      </c>
      <c r="C23" s="54">
        <f>IF(C10&gt;0,C20/C10,0)</f>
        <v/>
      </c>
      <c r="D23" s="54">
        <f>IF(D10&gt;0,D20/D10,0)</f>
        <v/>
      </c>
      <c r="E23" s="54">
        <f>IF(E10&gt;0,E20/E10,0)</f>
        <v/>
      </c>
      <c r="F23" s="54">
        <f>IF(F10&gt;0,F20/F10,0)</f>
        <v/>
      </c>
      <c r="G23" s="54">
        <f>IF(G10&gt;0,G20/G10,0)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TAX LOGIC ENGINE</t>
        </is>
      </c>
    </row>
    <row r="3">
      <c r="A3" t="inlineStr">
        <is>
          <t>This sheet contains educational content on:</t>
        </is>
      </c>
    </row>
    <row r="4">
      <c r="A4" t="inlineStr">
        <is>
          <t>• Standard capital gains tax calculation</t>
        </is>
      </c>
    </row>
    <row r="5">
      <c r="A5" t="inlineStr">
        <is>
          <t>• §1202 QSBS exclusion rules and eligibility</t>
        </is>
      </c>
    </row>
    <row r="6">
      <c r="A6" t="inlineStr">
        <is>
          <t>• §1045 rollover mechanics (8-step process)</t>
        </is>
      </c>
    </row>
    <row r="7">
      <c r="A7" t="inlineStr">
        <is>
          <t>• Combined §1045→§1202 chain logic</t>
        </is>
      </c>
    </row>
    <row r="9">
      <c r="A9" t="inlineStr">
        <is>
          <t>Key Rule: §1202 exclusion cap = greater of $10M or 10× original basis</t>
        </is>
      </c>
    </row>
    <row r="10">
      <c r="A10" t="inlineStr">
        <is>
          <t>Key Rule: §1045 tacks holding period from original QSBS purchase date</t>
        </is>
      </c>
    </row>
    <row r="11">
      <c r="A11" t="inlineStr">
        <is>
          <t>Key Rule: §1045 reduces basis in replacement stock by deferred gain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DECISION MATRIX — PROBABILITY-WEIGHTED ANALYSIS</t>
        </is>
      </c>
    </row>
    <row r="3">
      <c r="A3" s="55" t="inlineStr">
        <is>
          <t>CLINICAL PROBABILITY ASSUMPTIONS</t>
        </is>
      </c>
    </row>
    <row r="4">
      <c r="A4" t="inlineStr">
        <is>
          <t>P(LBRX Phase 3 Success)</t>
        </is>
      </c>
      <c r="B4" s="56" t="n">
        <v>0.55</v>
      </c>
      <c r="C4" t="inlineStr">
        <is>
          <t>← Adjustable (industry avg: 50-60%)</t>
        </is>
      </c>
    </row>
    <row r="5">
      <c r="A5" t="inlineStr">
        <is>
          <t>P(Evecxia Phase 2 Success)</t>
        </is>
      </c>
      <c r="B5" s="56" t="n">
        <v>0.35</v>
      </c>
      <c r="C5" t="inlineStr">
        <is>
          <t>← Adjustable (CNS Ph2: 30-40%)</t>
        </is>
      </c>
    </row>
    <row r="7">
      <c r="A7" s="55" t="inlineStr">
        <is>
          <t>PATH 2: HOLD LBRX THROUGH PHASE 3</t>
        </is>
      </c>
    </row>
    <row r="8">
      <c r="A8" t="inlineStr">
        <is>
          <t>Expected Net Value</t>
        </is>
      </c>
      <c r="B8" s="57">
        <f>0.55*Scenarios!C21+0.45*Scenarios!D21</f>
        <v/>
      </c>
    </row>
    <row r="10">
      <c r="A10" s="55" t="inlineStr">
        <is>
          <t>PATH 3: §1045 ROLL INTO EVECXIA</t>
        </is>
      </c>
    </row>
    <row r="11">
      <c r="A11" t="inlineStr">
        <is>
          <t>Expected Net Value</t>
        </is>
      </c>
      <c r="B11" s="57">
        <f>0.35*Scenarios!F21+0.65*Scenarios!G21</f>
        <v/>
      </c>
    </row>
    <row r="13">
      <c r="A13" s="55" t="inlineStr">
        <is>
          <t>COMPARISON</t>
        </is>
      </c>
    </row>
    <row r="14">
      <c r="A14" t="inlineStr">
        <is>
          <t>Path 2 Expected Value</t>
        </is>
      </c>
      <c r="B14" s="58">
        <f>B8</f>
        <v/>
      </c>
    </row>
    <row r="15">
      <c r="A15" t="inlineStr">
        <is>
          <t>Path 3 Expected Value</t>
        </is>
      </c>
      <c r="B15" s="58">
        <f>B11</f>
        <v/>
      </c>
    </row>
    <row r="16">
      <c r="A16" t="inlineStr">
        <is>
          <t>Difference (Path 3 - Path 2)</t>
        </is>
      </c>
      <c r="B16" s="57">
        <f>B15-B14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6" t="inlineStr">
        <is>
          <t>BREAKEVEN ANALYSIS</t>
        </is>
      </c>
    </row>
    <row r="3">
      <c r="A3" s="55" t="inlineStr">
        <is>
          <t>KEY QUESTION: AT WHAT EVECXIA VALUATION DOES PATH 3 = PATH 2?</t>
        </is>
      </c>
    </row>
    <row r="5">
      <c r="A5" t="inlineStr">
        <is>
          <t>Path 2 Base Case Net (LBRX Ph3+ @ $100)</t>
        </is>
      </c>
      <c r="B5" s="58">
        <f>Scenarios!C21</f>
        <v/>
      </c>
    </row>
    <row r="6">
      <c r="A6" t="inlineStr">
        <is>
          <t>Investor Evecxia Shares</t>
        </is>
      </c>
      <c r="B6" s="24">
        <f>Inputs!B32</f>
        <v/>
      </c>
    </row>
    <row r="7">
      <c r="A7" t="inlineStr">
        <is>
          <t>Evecxia Total Shares at Readout</t>
        </is>
      </c>
      <c r="B7" s="24">
        <f>Inputs!B65</f>
        <v/>
      </c>
    </row>
    <row r="8">
      <c r="A8" t="inlineStr">
        <is>
          <t>Investor Ownership %</t>
        </is>
      </c>
      <c r="B8" s="59">
        <f>B6/B7</f>
        <v/>
      </c>
    </row>
    <row r="10">
      <c r="A10" t="inlineStr">
        <is>
          <t>Breakeven Evecxia Valuation (to match Path 2)</t>
        </is>
      </c>
      <c r="B10" s="60">
        <f>B5/B8</f>
        <v/>
      </c>
    </row>
    <row r="12">
      <c r="A12" t="inlineStr">
        <is>
          <t>Breakeven as Multiple of $180M IPO</t>
        </is>
      </c>
      <c r="B12" s="61">
        <f>B10/Inputs!B64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6" t="inlineStr">
        <is>
          <t>EVECXIA DILUTION WATERFALL</t>
        </is>
      </c>
    </row>
    <row r="2">
      <c r="A2" t="inlineStr">
        <is>
          <t>Tracking investor ownership from Series A through Phase 2 readout</t>
        </is>
      </c>
    </row>
    <row r="4">
      <c r="A4" s="62" t="inlineStr">
        <is>
          <t>Stage</t>
        </is>
      </c>
      <c r="B4" s="62" t="inlineStr">
        <is>
          <t>Total Shares</t>
        </is>
      </c>
      <c r="C4" s="62" t="inlineStr">
        <is>
          <t>Investor Shares</t>
        </is>
      </c>
      <c r="D4" s="62" t="inlineStr">
        <is>
          <t>Ownership %</t>
        </is>
      </c>
      <c r="E4" s="62" t="inlineStr">
        <is>
          <t>Stake Value</t>
        </is>
      </c>
    </row>
    <row r="5">
      <c r="A5" t="inlineStr">
        <is>
          <t>Series A Close ($30M post-money)</t>
        </is>
      </c>
      <c r="B5" s="24">
        <f>Inputs!B36</f>
        <v/>
      </c>
      <c r="C5" s="24">
        <f>Inputs!B32</f>
        <v/>
      </c>
      <c r="D5" s="59">
        <f>C5/B5</f>
        <v/>
      </c>
      <c r="E5" s="58">
        <f>D5*Inputs!B35</f>
        <v/>
      </c>
    </row>
    <row r="6">
      <c r="A6" t="inlineStr">
        <is>
          <t>IPO ($180M valuation)</t>
        </is>
      </c>
      <c r="B6" s="24">
        <f>B5/0.80</f>
        <v/>
      </c>
      <c r="C6" s="24">
        <f>C5</f>
        <v/>
      </c>
      <c r="D6" s="59">
        <f>C6/B6</f>
        <v/>
      </c>
      <c r="E6" s="58">
        <f>D6*Inputs!B64</f>
        <v/>
      </c>
    </row>
    <row r="7">
      <c r="A7" t="inlineStr">
        <is>
          <t>At Phase 2 Readout (365M shares est.)</t>
        </is>
      </c>
      <c r="B7" s="24">
        <f>Inputs!B65</f>
        <v/>
      </c>
      <c r="C7" s="24">
        <f>C5</f>
        <v/>
      </c>
      <c r="D7" s="59">
        <f>C7/B7</f>
        <v/>
      </c>
      <c r="E7" s="58" t="inlineStr">
        <is>
          <t>varies by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OUTPUTS DASHBOARD</t>
        </is>
      </c>
    </row>
    <row r="3">
      <c r="A3" s="26" t="inlineStr">
        <is>
          <t>KEY FLAGS</t>
        </is>
      </c>
    </row>
    <row r="4">
      <c r="A4" t="inlineStr">
        <is>
          <t>QSBS 5-year met at lock-up?</t>
        </is>
      </c>
      <c r="B4" s="37">
        <f>IF(lockup_date&gt;=qsbs_5yr_date,"YES","NO")</f>
        <v/>
      </c>
    </row>
    <row r="5">
      <c r="A5" t="inlineStr">
        <is>
          <t>QSBS 5-year met at Phase 3 readout?</t>
        </is>
      </c>
      <c r="B5" s="37">
        <f>IF(ph3_date&gt;=qsbs_5yr_date,"YES","NO")</f>
        <v/>
      </c>
    </row>
    <row r="6">
      <c r="A6" t="inlineStr">
        <is>
          <t>§1045 eligible?</t>
        </is>
      </c>
      <c r="B6" s="37">
        <f>IF(AND((lockup_date-serb_date)&gt;180,Inputs!$B$33="YES"),"YES","NO")</f>
        <v/>
      </c>
    </row>
    <row r="7">
      <c r="A7" t="inlineStr">
        <is>
          <t>§1045 → §1202 chain achievable?</t>
        </is>
      </c>
      <c r="B7" s="37">
        <f>IF(AND(B6="YES",(evecxia_ph2_date-serb_date)&gt;=1826),"YES","NO")</f>
        <v/>
      </c>
    </row>
    <row r="9">
      <c r="A9" s="26" t="inlineStr">
        <is>
          <t>SCENARIO COMPARISON</t>
        </is>
      </c>
    </row>
    <row r="10">
      <c r="A10" s="22" t="inlineStr">
        <is>
          <t>Metric</t>
        </is>
      </c>
      <c r="B10" s="22" t="inlineStr">
        <is>
          <t>S1: Lock-Up</t>
        </is>
      </c>
      <c r="C10" s="22" t="inlineStr">
        <is>
          <t>S2: Ph3+</t>
        </is>
      </c>
      <c r="D10" s="22" t="inlineStr">
        <is>
          <t>S3: Ph3-</t>
        </is>
      </c>
      <c r="E10" s="22" t="inlineStr">
        <is>
          <t>S4: Dual Lot</t>
        </is>
      </c>
      <c r="F10" s="22" t="inlineStr">
        <is>
          <t>S5: Eve+</t>
        </is>
      </c>
      <c r="G10" s="22" t="inlineStr">
        <is>
          <t>S6: Eve-</t>
        </is>
      </c>
    </row>
    <row r="11">
      <c r="A11" t="inlineStr">
        <is>
          <t>Gross Proceeds</t>
        </is>
      </c>
      <c r="B11" s="63">
        <f>Scenarios!B8</f>
        <v/>
      </c>
      <c r="C11" s="63">
        <f>Scenarios!C8</f>
        <v/>
      </c>
      <c r="D11" s="63">
        <f>Scenarios!D8</f>
        <v/>
      </c>
      <c r="E11" s="63">
        <f>Scenarios!E8</f>
        <v/>
      </c>
      <c r="F11" s="63">
        <f>Scenarios!F8</f>
        <v/>
      </c>
      <c r="G11" s="63">
        <f>Scenarios!G8</f>
        <v/>
      </c>
    </row>
    <row r="12">
      <c r="A12" t="inlineStr">
        <is>
          <t>Gain</t>
        </is>
      </c>
      <c r="B12" s="63">
        <f>Scenarios!B10</f>
        <v/>
      </c>
      <c r="C12" s="63">
        <f>Scenarios!C10</f>
        <v/>
      </c>
      <c r="D12" s="63">
        <f>Scenarios!D10</f>
        <v/>
      </c>
      <c r="E12" s="63">
        <f>Scenarios!E10</f>
        <v/>
      </c>
      <c r="F12" s="63">
        <f>Scenarios!F10</f>
        <v/>
      </c>
      <c r="G12" s="63">
        <f>Scenarios!G10</f>
        <v/>
      </c>
    </row>
    <row r="13">
      <c r="A13" t="inlineStr">
        <is>
          <t>§1202 Exclusion</t>
        </is>
      </c>
      <c r="B13" s="63">
        <f>Scenarios!B15</f>
        <v/>
      </c>
      <c r="C13" s="63">
        <f>Scenarios!C15</f>
        <v/>
      </c>
      <c r="D13" s="63">
        <f>Scenarios!D15</f>
        <v/>
      </c>
      <c r="E13" s="63">
        <f>Scenarios!E15</f>
        <v/>
      </c>
      <c r="F13" s="63">
        <f>Scenarios!F15</f>
        <v/>
      </c>
      <c r="G13" s="63">
        <f>Scenarios!G15</f>
        <v/>
      </c>
    </row>
    <row r="14">
      <c r="A14" t="inlineStr">
        <is>
          <t>Total Tax</t>
        </is>
      </c>
      <c r="B14" s="63">
        <f>Scenarios!B20</f>
        <v/>
      </c>
      <c r="C14" s="63">
        <f>Scenarios!C20</f>
        <v/>
      </c>
      <c r="D14" s="63">
        <f>Scenarios!D20</f>
        <v/>
      </c>
      <c r="E14" s="63">
        <f>Scenarios!E20</f>
        <v/>
      </c>
      <c r="F14" s="63">
        <f>Scenarios!F20</f>
        <v/>
      </c>
      <c r="G14" s="63">
        <f>Scenarios!G20</f>
        <v/>
      </c>
    </row>
    <row r="15">
      <c r="A15" t="inlineStr">
        <is>
          <t>Net After-Tax</t>
        </is>
      </c>
      <c r="B15" s="63">
        <f>Scenarios!B21</f>
        <v/>
      </c>
      <c r="C15" s="63">
        <f>Scenarios!C21</f>
        <v/>
      </c>
      <c r="D15" s="63">
        <f>Scenarios!D21</f>
        <v/>
      </c>
      <c r="E15" s="63">
        <f>Scenarios!E21</f>
        <v/>
      </c>
      <c r="F15" s="63">
        <f>Scenarios!F21</f>
        <v/>
      </c>
      <c r="G15" s="63">
        <f>Scenarios!G21</f>
        <v/>
      </c>
    </row>
    <row r="16">
      <c r="A16" t="inlineStr">
        <is>
          <t>MOIC</t>
        </is>
      </c>
      <c r="B16" s="64">
        <f>Scenarios!B22</f>
        <v/>
      </c>
      <c r="C16" s="64">
        <f>Scenarios!C22</f>
        <v/>
      </c>
      <c r="D16" s="64">
        <f>Scenarios!D22</f>
        <v/>
      </c>
      <c r="E16" s="64">
        <f>Scenarios!E22</f>
        <v/>
      </c>
      <c r="F16" s="64">
        <f>Scenarios!F22</f>
        <v/>
      </c>
      <c r="G16" s="64">
        <f>Scenarios!G22</f>
        <v/>
      </c>
    </row>
  </sheetData>
  <mergeCells count="2">
    <mergeCell ref="A3:C3"/>
    <mergeCell ref="A9:G9"/>
  </mergeCells>
  <conditionalFormatting sqref="B4:B7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SOURCES &amp; BIBLIOGRAPHY</t>
        </is>
      </c>
    </row>
    <row r="3">
      <c r="A3" t="inlineStr">
        <is>
          <t>LBRX Current Stock Price - Yahoo Finance</t>
        </is>
      </c>
    </row>
    <row r="4">
      <c r="A4" t="inlineStr">
        <is>
          <t>LBRX IPO Announcement - Cooley Press Release</t>
        </is>
      </c>
    </row>
    <row r="5">
      <c r="A5" t="inlineStr">
        <is>
          <t>LBRX Phase 2 ILLUMINATE-1 - Globe Newswire</t>
        </is>
      </c>
    </row>
    <row r="6">
      <c r="A6" t="inlineStr">
        <is>
          <t>Karuna BMY Acquisition - BMY Press Release</t>
        </is>
      </c>
    </row>
    <row r="7">
      <c r="A7" t="inlineStr">
        <is>
          <t>ITCI JNJ Acquisition - JNJ Press Release</t>
        </is>
      </c>
    </row>
    <row r="8">
      <c r="A8" t="inlineStr">
        <is>
          <t>Cerevel AbbVie Acquisition - AbbVie Press Release</t>
        </is>
      </c>
    </row>
    <row r="9">
      <c r="A9" t="inlineStr">
        <is>
          <t>IRS §1202 QSBS Rules - IRS Publications</t>
        </is>
      </c>
    </row>
    <row r="10">
      <c r="A10" t="inlineStr">
        <is>
          <t>IRS §1045 Rollover Rules - IRS Publication 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2026-02-14T08:23:27Z</dcterms:created>
  <dcterms:modified xsi:type="dcterms:W3CDTF">2026-02-14T08:24:57Z</dcterms:modified>
</cp:coreProperties>
</file>